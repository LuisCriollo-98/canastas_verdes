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ALEJO\UNIVERSIDAD\PRACTICA\PROYECTO\canastas_verdes\BACKEND\"/>
    </mc:Choice>
  </mc:AlternateContent>
  <xr:revisionPtr revIDLastSave="0" documentId="13_ncr:1_{71B94534-78C3-444E-BBD5-AC059D722F59}" xr6:coauthVersionLast="47" xr6:coauthVersionMax="47" xr10:uidLastSave="{00000000-0000-0000-0000-000000000000}"/>
  <bookViews>
    <workbookView xWindow="28680" yWindow="-120" windowWidth="20640" windowHeight="11040" firstSheet="6" activeTab="6" xr2:uid="{7E22A4D9-84D7-4331-BBBE-90C477508CF3}"/>
  </bookViews>
  <sheets>
    <sheet name="ANCUYA" sheetId="1" state="hidden" r:id="rId1"/>
    <sheet name="CONSACA" sheetId="2" state="hidden" r:id="rId2"/>
    <sheet name="GUALMATAN" sheetId="3" state="hidden" r:id="rId3"/>
    <sheet name="LA FLORIDA" sheetId="4" state="hidden" r:id="rId4"/>
    <sheet name="SANDONA" sheetId="5" state="hidden" r:id="rId5"/>
    <sheet name="YACUANQUER" sheetId="6" state="hidden" r:id="rId6"/>
    <sheet name="CONSOLIDADO" sheetId="7" r:id="rId7"/>
  </sheets>
  <definedNames>
    <definedName name="_xlnm._FilterDatabase" localSheetId="6" hidden="1">CONSOLIDADO!$A$1:$E$128</definedName>
    <definedName name="_xlnm._FilterDatabase" localSheetId="2" hidden="1">GUALMATAN!$A$1:$I$15</definedName>
    <definedName name="_xlnm._FilterDatabase" localSheetId="3" hidden="1">'LA FLORIDA'!$A$1:$H$43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4" i="4" l="1"/>
  <c r="I44" i="4" s="1"/>
  <c r="H44" i="4"/>
  <c r="G32" i="6"/>
  <c r="I32" i="6" s="1"/>
  <c r="H32" i="6"/>
  <c r="H31" i="6" l="1"/>
  <c r="G31" i="6"/>
  <c r="I31" i="6" l="1"/>
  <c r="G30" i="6"/>
  <c r="H30" i="6"/>
  <c r="G29" i="6"/>
  <c r="I29" i="6" s="1"/>
  <c r="H29" i="6"/>
  <c r="H3" i="5"/>
  <c r="H4" i="5"/>
  <c r="H5" i="5"/>
  <c r="H2" i="5"/>
  <c r="G2" i="5"/>
  <c r="G3" i="5"/>
  <c r="I3" i="5" s="1"/>
  <c r="G4" i="5"/>
  <c r="I4" i="5" s="1"/>
  <c r="G5" i="5"/>
  <c r="I5" i="5" s="1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" i="6"/>
  <c r="G3" i="6"/>
  <c r="G4" i="6"/>
  <c r="G5" i="6"/>
  <c r="G6" i="6"/>
  <c r="I6" i="6" s="1"/>
  <c r="G7" i="6"/>
  <c r="G8" i="6"/>
  <c r="G9" i="6"/>
  <c r="G10" i="6"/>
  <c r="I10" i="6" s="1"/>
  <c r="G11" i="6"/>
  <c r="G12" i="6"/>
  <c r="G13" i="6"/>
  <c r="G14" i="6"/>
  <c r="I14" i="6" s="1"/>
  <c r="G15" i="6"/>
  <c r="G16" i="6"/>
  <c r="G17" i="6"/>
  <c r="G18" i="6"/>
  <c r="I18" i="6" s="1"/>
  <c r="G19" i="6"/>
  <c r="G20" i="6"/>
  <c r="G21" i="6"/>
  <c r="G22" i="6"/>
  <c r="I22" i="6" s="1"/>
  <c r="G23" i="6"/>
  <c r="G24" i="6"/>
  <c r="G25" i="6"/>
  <c r="G26" i="6"/>
  <c r="I26" i="6" s="1"/>
  <c r="G27" i="6"/>
  <c r="G28" i="6"/>
  <c r="G2" i="6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I24" i="4" s="1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G7" i="4"/>
  <c r="I7" i="4" s="1"/>
  <c r="G8" i="4"/>
  <c r="I8" i="4" s="1"/>
  <c r="G9" i="4"/>
  <c r="I9" i="4" s="1"/>
  <c r="G10" i="4"/>
  <c r="G11" i="4"/>
  <c r="I11" i="4" s="1"/>
  <c r="G12" i="4"/>
  <c r="G13" i="4"/>
  <c r="I13" i="4" s="1"/>
  <c r="G14" i="4"/>
  <c r="G15" i="4"/>
  <c r="I15" i="4" s="1"/>
  <c r="G16" i="4"/>
  <c r="G17" i="4"/>
  <c r="I17" i="4" s="1"/>
  <c r="G18" i="4"/>
  <c r="G19" i="4"/>
  <c r="I19" i="4" s="1"/>
  <c r="G20" i="4"/>
  <c r="G21" i="4"/>
  <c r="I21" i="4" s="1"/>
  <c r="G22" i="4"/>
  <c r="G23" i="4"/>
  <c r="I23" i="4" s="1"/>
  <c r="G24" i="4"/>
  <c r="G25" i="4"/>
  <c r="I25" i="4" s="1"/>
  <c r="G26" i="4"/>
  <c r="G27" i="4"/>
  <c r="I27" i="4" s="1"/>
  <c r="G28" i="4"/>
  <c r="G29" i="4"/>
  <c r="I29" i="4" s="1"/>
  <c r="G30" i="4"/>
  <c r="G31" i="4"/>
  <c r="I31" i="4" s="1"/>
  <c r="G32" i="4"/>
  <c r="G33" i="4"/>
  <c r="I33" i="4" s="1"/>
  <c r="G34" i="4"/>
  <c r="G35" i="4"/>
  <c r="I35" i="4" s="1"/>
  <c r="G36" i="4"/>
  <c r="G37" i="4"/>
  <c r="I37" i="4" s="1"/>
  <c r="G38" i="4"/>
  <c r="G39" i="4"/>
  <c r="I39" i="4" s="1"/>
  <c r="G40" i="4"/>
  <c r="I40" i="4" s="1"/>
  <c r="G41" i="4"/>
  <c r="I41" i="4" s="1"/>
  <c r="G42" i="4"/>
  <c r="G43" i="4"/>
  <c r="I43" i="4" s="1"/>
  <c r="H3" i="4"/>
  <c r="H4" i="4"/>
  <c r="H5" i="4"/>
  <c r="H6" i="4"/>
  <c r="G3" i="4"/>
  <c r="I3" i="4" s="1"/>
  <c r="G4" i="4"/>
  <c r="I4" i="4" s="1"/>
  <c r="G5" i="4"/>
  <c r="I5" i="4" s="1"/>
  <c r="G6" i="4"/>
  <c r="I6" i="4" s="1"/>
  <c r="H2" i="4"/>
  <c r="G2" i="4"/>
  <c r="H5" i="2"/>
  <c r="G5" i="2"/>
  <c r="H4" i="2"/>
  <c r="G4" i="2"/>
  <c r="H3" i="2"/>
  <c r="G3" i="2"/>
  <c r="H2" i="2"/>
  <c r="G2" i="2"/>
  <c r="I15" i="3"/>
  <c r="H3" i="3"/>
  <c r="H4" i="3"/>
  <c r="H5" i="3"/>
  <c r="H6" i="3"/>
  <c r="I6" i="3" s="1"/>
  <c r="H7" i="3"/>
  <c r="H8" i="3"/>
  <c r="H9" i="3"/>
  <c r="H10" i="3"/>
  <c r="H11" i="3"/>
  <c r="H12" i="3"/>
  <c r="H13" i="3"/>
  <c r="H14" i="3"/>
  <c r="I14" i="3" s="1"/>
  <c r="H15" i="3"/>
  <c r="G3" i="3"/>
  <c r="G4" i="3"/>
  <c r="I4" i="3" s="1"/>
  <c r="G5" i="3"/>
  <c r="I5" i="3" s="1"/>
  <c r="G6" i="3"/>
  <c r="G7" i="3"/>
  <c r="I7" i="3" s="1"/>
  <c r="G8" i="3"/>
  <c r="I8" i="3" s="1"/>
  <c r="G9" i="3"/>
  <c r="I9" i="3" s="1"/>
  <c r="G10" i="3"/>
  <c r="G11" i="3"/>
  <c r="G12" i="3"/>
  <c r="I12" i="3" s="1"/>
  <c r="G13" i="3"/>
  <c r="I13" i="3" s="1"/>
  <c r="G14" i="3"/>
  <c r="G15" i="3"/>
  <c r="H2" i="3"/>
  <c r="G2" i="3"/>
  <c r="I2" i="3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G3" i="1"/>
  <c r="I3" i="1" s="1"/>
  <c r="G4" i="1"/>
  <c r="G5" i="1"/>
  <c r="G6" i="1"/>
  <c r="I6" i="1" s="1"/>
  <c r="G7" i="1"/>
  <c r="I7" i="1" s="1"/>
  <c r="G8" i="1"/>
  <c r="G9" i="1"/>
  <c r="G10" i="1"/>
  <c r="I10" i="1" s="1"/>
  <c r="G11" i="1"/>
  <c r="I11" i="1" s="1"/>
  <c r="G12" i="1"/>
  <c r="G13" i="1"/>
  <c r="G14" i="1"/>
  <c r="I14" i="1" s="1"/>
  <c r="G15" i="1"/>
  <c r="I15" i="1" s="1"/>
  <c r="G16" i="1"/>
  <c r="G17" i="1"/>
  <c r="G18" i="1"/>
  <c r="I18" i="1" s="1"/>
  <c r="G19" i="1"/>
  <c r="I19" i="1" s="1"/>
  <c r="H2" i="1"/>
  <c r="G2" i="1"/>
  <c r="I2" i="6" l="1"/>
  <c r="I25" i="6"/>
  <c r="I21" i="6"/>
  <c r="I17" i="6"/>
  <c r="I13" i="6"/>
  <c r="I9" i="6"/>
  <c r="I5" i="6"/>
  <c r="I28" i="6"/>
  <c r="I24" i="6"/>
  <c r="I20" i="6"/>
  <c r="I16" i="6"/>
  <c r="I12" i="6"/>
  <c r="I8" i="6"/>
  <c r="I4" i="6"/>
  <c r="I27" i="6"/>
  <c r="I23" i="6"/>
  <c r="I19" i="6"/>
  <c r="I15" i="6"/>
  <c r="I11" i="6"/>
  <c r="I7" i="6"/>
  <c r="I3" i="6"/>
  <c r="I36" i="4"/>
  <c r="I32" i="4"/>
  <c r="I28" i="4"/>
  <c r="I20" i="4"/>
  <c r="I16" i="4"/>
  <c r="I12" i="4"/>
  <c r="I11" i="3"/>
  <c r="I3" i="3"/>
  <c r="I2" i="2"/>
  <c r="I3" i="2"/>
  <c r="I16" i="1"/>
  <c r="I12" i="1"/>
  <c r="I8" i="1"/>
  <c r="I4" i="1"/>
  <c r="I17" i="1"/>
  <c r="I13" i="1"/>
  <c r="I9" i="1"/>
  <c r="I5" i="1"/>
  <c r="I5" i="2"/>
  <c r="I10" i="3"/>
  <c r="I2" i="4"/>
  <c r="I42" i="4"/>
  <c r="I38" i="4"/>
  <c r="I34" i="4"/>
  <c r="I30" i="4"/>
  <c r="I26" i="4"/>
  <c r="I22" i="4"/>
  <c r="I18" i="4"/>
  <c r="I14" i="4"/>
  <c r="I10" i="4"/>
  <c r="I2" i="5"/>
  <c r="I30" i="6"/>
  <c r="I2" i="1"/>
</calcChain>
</file>

<file path=xl/sharedStrings.xml><?xml version="1.0" encoding="utf-8"?>
<sst xmlns="http://schemas.openxmlformats.org/spreadsheetml/2006/main" count="1143" uniqueCount="367">
  <si>
    <t>Código</t>
  </si>
  <si>
    <t>Municipio</t>
  </si>
  <si>
    <t>Producto</t>
  </si>
  <si>
    <t>Categoría</t>
  </si>
  <si>
    <t>Presentación</t>
  </si>
  <si>
    <t>Precio 2025</t>
  </si>
  <si>
    <t>Costo Pcc</t>
  </si>
  <si>
    <t>Ancuya</t>
  </si>
  <si>
    <t>Gelatina de pata</t>
  </si>
  <si>
    <t>Adicional</t>
  </si>
  <si>
    <t>Paquete 6 unidades</t>
  </si>
  <si>
    <t>Panela pulverizada</t>
  </si>
  <si>
    <t>Canasta Grande</t>
  </si>
  <si>
    <t>500gr</t>
  </si>
  <si>
    <t>Canasta Pequeña</t>
  </si>
  <si>
    <t>300gr</t>
  </si>
  <si>
    <t>Chips Arracacha</t>
  </si>
  <si>
    <t>70gr</t>
  </si>
  <si>
    <t>Chips Plátano</t>
  </si>
  <si>
    <t>Chips Yuca</t>
  </si>
  <si>
    <t>Sachainchi Natural</t>
  </si>
  <si>
    <t>150gr</t>
  </si>
  <si>
    <t>Sachainchi con Sal</t>
  </si>
  <si>
    <t>Sachainchi Confitado</t>
  </si>
  <si>
    <t>Panela en Cuadro</t>
  </si>
  <si>
    <t>850gr</t>
  </si>
  <si>
    <t>Miel de abeja</t>
  </si>
  <si>
    <t>Media</t>
  </si>
  <si>
    <t>Orellana</t>
  </si>
  <si>
    <t>250gr</t>
  </si>
  <si>
    <t>1000gr</t>
  </si>
  <si>
    <t>Canasta Grande-Pequeña</t>
  </si>
  <si>
    <t>Unidad</t>
  </si>
  <si>
    <t>Citronela</t>
  </si>
  <si>
    <t>Atado</t>
  </si>
  <si>
    <t>Medio atado</t>
  </si>
  <si>
    <t>Pronto alivio</t>
  </si>
  <si>
    <t>Chips de batata</t>
  </si>
  <si>
    <t>50gr</t>
  </si>
  <si>
    <t>AT001A</t>
  </si>
  <si>
    <t>AT002A</t>
  </si>
  <si>
    <t>AT003A</t>
  </si>
  <si>
    <t>AT004A</t>
  </si>
  <si>
    <t>AF005A</t>
  </si>
  <si>
    <t>AF006A</t>
  </si>
  <si>
    <t>AT007A</t>
  </si>
  <si>
    <t>AT008A</t>
  </si>
  <si>
    <t>AF009A</t>
  </si>
  <si>
    <t>AF010A</t>
  </si>
  <si>
    <t>AF011A</t>
  </si>
  <si>
    <t>AT012A</t>
  </si>
  <si>
    <t>AT013G</t>
  </si>
  <si>
    <t>AT014P</t>
  </si>
  <si>
    <t>AT015A</t>
  </si>
  <si>
    <t>AT016A</t>
  </si>
  <si>
    <t>AT017A</t>
  </si>
  <si>
    <t>AT018A</t>
  </si>
  <si>
    <t>Consacá</t>
  </si>
  <si>
    <t>Mandarina</t>
  </si>
  <si>
    <t>Docena</t>
  </si>
  <si>
    <t>Media docena</t>
  </si>
  <si>
    <t xml:space="preserve">Achiote molido </t>
  </si>
  <si>
    <t>20 gr</t>
  </si>
  <si>
    <t>Zapote</t>
  </si>
  <si>
    <t>CFO04A</t>
  </si>
  <si>
    <t>CFO01A</t>
  </si>
  <si>
    <t>CFO02G</t>
  </si>
  <si>
    <t>CFO03P</t>
  </si>
  <si>
    <t>Gualmatán</t>
  </si>
  <si>
    <t>Coliflor</t>
  </si>
  <si>
    <t>Brocoli</t>
  </si>
  <si>
    <t>Lechuga crespa verde</t>
  </si>
  <si>
    <t>Espinaca</t>
  </si>
  <si>
    <t>Acelga</t>
  </si>
  <si>
    <t>Perejil</t>
  </si>
  <si>
    <t>100gr</t>
  </si>
  <si>
    <t>Cilantro</t>
  </si>
  <si>
    <t>Repollo Verde</t>
  </si>
  <si>
    <t>Manzanilla</t>
  </si>
  <si>
    <t>Calendula</t>
  </si>
  <si>
    <t>Zanahoria</t>
  </si>
  <si>
    <t>Kilo</t>
  </si>
  <si>
    <t>Papa Capira</t>
  </si>
  <si>
    <t>Lechuga Batavia</t>
  </si>
  <si>
    <t>Apio</t>
  </si>
  <si>
    <t>700gr</t>
  </si>
  <si>
    <t>GF001A</t>
  </si>
  <si>
    <t>GF002A</t>
  </si>
  <si>
    <t>GF003GP</t>
  </si>
  <si>
    <t>GF004A</t>
  </si>
  <si>
    <t>GF005GP</t>
  </si>
  <si>
    <t>GF006GP</t>
  </si>
  <si>
    <t>GF007A</t>
  </si>
  <si>
    <t>GF008A</t>
  </si>
  <si>
    <t>GF011A</t>
  </si>
  <si>
    <t>GF013GP</t>
  </si>
  <si>
    <t>La Florida</t>
  </si>
  <si>
    <t>Arequipe</t>
  </si>
  <si>
    <t>125gr</t>
  </si>
  <si>
    <t>Ají en polvo</t>
  </si>
  <si>
    <t>25gr</t>
  </si>
  <si>
    <t>Fruta deshidratada</t>
  </si>
  <si>
    <t>Cuajada</t>
  </si>
  <si>
    <t>Miel de abeja con fruta deshidratada para infusiones</t>
  </si>
  <si>
    <t>frasco 100gr</t>
  </si>
  <si>
    <t>Fruta deshidratada frutos rojos (mora, fresa, flor de jamaica), frutos amarillos (piñs, uvilla, papaya) para infusiones (Paquete)</t>
  </si>
  <si>
    <t>200gr</t>
  </si>
  <si>
    <t>sasonador verde</t>
  </si>
  <si>
    <t>sasonador blanco</t>
  </si>
  <si>
    <t>sasonador rojo</t>
  </si>
  <si>
    <t>150gs</t>
  </si>
  <si>
    <t>sasonador  rojo</t>
  </si>
  <si>
    <t>Sábila</t>
  </si>
  <si>
    <t>Litro</t>
  </si>
  <si>
    <t>Medio litro</t>
  </si>
  <si>
    <t>Feijoa</t>
  </si>
  <si>
    <t>Libra</t>
  </si>
  <si>
    <t>Granadilla</t>
  </si>
  <si>
    <t>Banano</t>
  </si>
  <si>
    <t>Mano</t>
  </si>
  <si>
    <t>Media mano</t>
  </si>
  <si>
    <t>Plátano Verde</t>
  </si>
  <si>
    <t>Plátano Amarillo_</t>
  </si>
  <si>
    <t>Cidra</t>
  </si>
  <si>
    <t>Limón Mandarino</t>
  </si>
  <si>
    <t>Chachafruto</t>
  </si>
  <si>
    <t>Sazón natural</t>
  </si>
  <si>
    <t>Cúrcuma</t>
  </si>
  <si>
    <t>20gr</t>
  </si>
  <si>
    <t>Yacón</t>
  </si>
  <si>
    <t>Dulce de Mora</t>
  </si>
  <si>
    <t>Medio Litro</t>
  </si>
  <si>
    <t>250 Ml</t>
  </si>
  <si>
    <t>Dulce de Leche</t>
  </si>
  <si>
    <t>Dulce de Guayaba</t>
  </si>
  <si>
    <t>Dulce de Breva</t>
  </si>
  <si>
    <t>500 Ml</t>
  </si>
  <si>
    <t>Dulce de Chilacuan</t>
  </si>
  <si>
    <t>champus con mote y piña</t>
  </si>
  <si>
    <t>litro</t>
  </si>
  <si>
    <t>500 ml</t>
  </si>
  <si>
    <t>FT001A</t>
  </si>
  <si>
    <t>FT002A</t>
  </si>
  <si>
    <t>FF003G</t>
  </si>
  <si>
    <t>FF004P</t>
  </si>
  <si>
    <t>FF005A</t>
  </si>
  <si>
    <t>FT006A</t>
  </si>
  <si>
    <t>FT007A</t>
  </si>
  <si>
    <t>FF008A</t>
  </si>
  <si>
    <t>FT009A</t>
  </si>
  <si>
    <t>FT010A</t>
  </si>
  <si>
    <t>FT011A</t>
  </si>
  <si>
    <t>FT012A</t>
  </si>
  <si>
    <t>FT013A</t>
  </si>
  <si>
    <t>FT014A</t>
  </si>
  <si>
    <t>FT015A</t>
  </si>
  <si>
    <t>FT016A</t>
  </si>
  <si>
    <t>FT017A</t>
  </si>
  <si>
    <t>FT018A</t>
  </si>
  <si>
    <t>FT019A</t>
  </si>
  <si>
    <t>FF020GP</t>
  </si>
  <si>
    <t>FT021A</t>
  </si>
  <si>
    <t>FT022A</t>
  </si>
  <si>
    <t>FT023A</t>
  </si>
  <si>
    <t>Sandoná</t>
  </si>
  <si>
    <t>Yuca</t>
  </si>
  <si>
    <t>Plátano amarillo</t>
  </si>
  <si>
    <t>SF003G</t>
  </si>
  <si>
    <t>SF004P</t>
  </si>
  <si>
    <t>Yacuanquer</t>
  </si>
  <si>
    <t xml:space="preserve">Naranja </t>
  </si>
  <si>
    <t xml:space="preserve">Lechuga </t>
  </si>
  <si>
    <t xml:space="preserve">Unidad </t>
  </si>
  <si>
    <t xml:space="preserve">Cilantro </t>
  </si>
  <si>
    <t xml:space="preserve">Medio atado </t>
  </si>
  <si>
    <t>Huevo Feliz</t>
  </si>
  <si>
    <t xml:space="preserve">Panal </t>
  </si>
  <si>
    <t xml:space="preserve">Huevo Criollo </t>
  </si>
  <si>
    <t xml:space="preserve">Fideos Caseros </t>
  </si>
  <si>
    <t>Paquete</t>
  </si>
  <si>
    <t xml:space="preserve">Remolacha </t>
  </si>
  <si>
    <t>Atado x 4 uni</t>
  </si>
  <si>
    <t xml:space="preserve">Acelga </t>
  </si>
  <si>
    <t xml:space="preserve">Atado </t>
  </si>
  <si>
    <t xml:space="preserve">Arepa de Callana </t>
  </si>
  <si>
    <t>atado</t>
  </si>
  <si>
    <t xml:space="preserve">Habichuela </t>
  </si>
  <si>
    <t xml:space="preserve">Paquete </t>
  </si>
  <si>
    <t xml:space="preserve">Tomate de Arbol </t>
  </si>
  <si>
    <t xml:space="preserve">Media docena </t>
  </si>
  <si>
    <t xml:space="preserve">Frijol lima </t>
  </si>
  <si>
    <t xml:space="preserve">Libra </t>
  </si>
  <si>
    <t xml:space="preserve">Tamal de queso </t>
  </si>
  <si>
    <t xml:space="preserve">x 2 unidades </t>
  </si>
  <si>
    <t xml:space="preserve">Café primitivo   </t>
  </si>
  <si>
    <t>Media libra</t>
  </si>
  <si>
    <t>Limón tahití</t>
  </si>
  <si>
    <t>Guandul</t>
  </si>
  <si>
    <t>Aromaticas Aniz</t>
  </si>
  <si>
    <t>Aromatica Romero</t>
  </si>
  <si>
    <t>Aromatica Tomillo</t>
  </si>
  <si>
    <t>YF004A</t>
  </si>
  <si>
    <t>YF005A</t>
  </si>
  <si>
    <t>YF006A</t>
  </si>
  <si>
    <t>YF007A</t>
  </si>
  <si>
    <t>YT009A</t>
  </si>
  <si>
    <t>YF001A</t>
  </si>
  <si>
    <t>YF014A</t>
  </si>
  <si>
    <t>YF015A</t>
  </si>
  <si>
    <t>YF016A</t>
  </si>
  <si>
    <t>YF017A</t>
  </si>
  <si>
    <t>YF018A</t>
  </si>
  <si>
    <t>YF019A</t>
  </si>
  <si>
    <t>YF021A</t>
  </si>
  <si>
    <t>YF022A</t>
  </si>
  <si>
    <t>YF024A</t>
  </si>
  <si>
    <t xml:space="preserve">Docena </t>
  </si>
  <si>
    <t xml:space="preserve">Aguacate </t>
  </si>
  <si>
    <t>Choclo</t>
  </si>
  <si>
    <t>YF002A</t>
  </si>
  <si>
    <t>YT003A</t>
  </si>
  <si>
    <t>YT008A</t>
  </si>
  <si>
    <t>YF010GP</t>
  </si>
  <si>
    <t>YF011GP</t>
  </si>
  <si>
    <t>YF012A</t>
  </si>
  <si>
    <t>YT013A</t>
  </si>
  <si>
    <t>Y0023GP</t>
  </si>
  <si>
    <t>YF020G</t>
  </si>
  <si>
    <t>YF025A</t>
  </si>
  <si>
    <t>YT026A</t>
  </si>
  <si>
    <t>YF027A</t>
  </si>
  <si>
    <t>SF001P</t>
  </si>
  <si>
    <t>SF002G</t>
  </si>
  <si>
    <t>%Transporte</t>
  </si>
  <si>
    <t>% logistica</t>
  </si>
  <si>
    <t>logistica</t>
  </si>
  <si>
    <t>FT024A</t>
  </si>
  <si>
    <t>FT025A</t>
  </si>
  <si>
    <t>FF026G</t>
  </si>
  <si>
    <t>FF027P</t>
  </si>
  <si>
    <t>FT028P</t>
  </si>
  <si>
    <t>FF029P</t>
  </si>
  <si>
    <t>FF030P</t>
  </si>
  <si>
    <t>FF031P</t>
  </si>
  <si>
    <t>FF032P</t>
  </si>
  <si>
    <t>FF033P</t>
  </si>
  <si>
    <t>FF034P</t>
  </si>
  <si>
    <t>FT035P</t>
  </si>
  <si>
    <t>FT036P</t>
  </si>
  <si>
    <t>FT037P</t>
  </si>
  <si>
    <t>FT038P</t>
  </si>
  <si>
    <t>FT039P</t>
  </si>
  <si>
    <t>FT040P</t>
  </si>
  <si>
    <t>FT041P</t>
  </si>
  <si>
    <t>FF042P</t>
  </si>
  <si>
    <t>Precio Sugerido</t>
  </si>
  <si>
    <t>Precio final</t>
  </si>
  <si>
    <t>Precio Final</t>
  </si>
  <si>
    <t>PRECIO ACUAL</t>
  </si>
  <si>
    <t>GF009GP</t>
  </si>
  <si>
    <t>GF010A</t>
  </si>
  <si>
    <t>GF012GP</t>
  </si>
  <si>
    <t>GF014A</t>
  </si>
  <si>
    <t>Precio sugerido</t>
  </si>
  <si>
    <t>utilidad</t>
  </si>
  <si>
    <t>aceiete 1 Romeronz</t>
  </si>
  <si>
    <t>YT028</t>
  </si>
  <si>
    <t>YT029</t>
  </si>
  <si>
    <t>Aceite  naranja</t>
  </si>
  <si>
    <t>adicional</t>
  </si>
  <si>
    <t>Aromatica hierbabuena</t>
  </si>
  <si>
    <t>1 onz</t>
  </si>
  <si>
    <t>Aceite de romero</t>
  </si>
  <si>
    <t>libra</t>
  </si>
  <si>
    <t>Verduras</t>
  </si>
  <si>
    <t>YF030P</t>
  </si>
  <si>
    <t>Snacks</t>
  </si>
  <si>
    <t>Media Docena</t>
  </si>
  <si>
    <t>Queso campesino</t>
  </si>
  <si>
    <t>Sazonadores</t>
  </si>
  <si>
    <t>Frutas</t>
  </si>
  <si>
    <t>Legumbres</t>
  </si>
  <si>
    <t>Proteínas</t>
  </si>
  <si>
    <t>Postres</t>
  </si>
  <si>
    <t>Autocuidado</t>
  </si>
  <si>
    <t>Aromáticas</t>
  </si>
  <si>
    <t>FT043A</t>
  </si>
  <si>
    <t>Café Bourbon Rojo y Amarillo</t>
  </si>
  <si>
    <t>Lácteos</t>
  </si>
  <si>
    <t>YT031A</t>
  </si>
  <si>
    <t>Champús con mote y piña</t>
  </si>
  <si>
    <t>Adicionales</t>
  </si>
  <si>
    <t xml:space="preserve">Café </t>
  </si>
  <si>
    <t xml:space="preserve">Café Primitivo   </t>
  </si>
  <si>
    <t>Tubérculo</t>
  </si>
  <si>
    <t>Frasco 100gr</t>
  </si>
  <si>
    <t>Tamal navideño</t>
  </si>
  <si>
    <t>Temporada</t>
  </si>
  <si>
    <t>Grande</t>
  </si>
  <si>
    <t>Muchacho relleno</t>
  </si>
  <si>
    <t>Chips de arracacha</t>
  </si>
  <si>
    <t>Chips de plátano</t>
  </si>
  <si>
    <t>Chips de yuca</t>
  </si>
  <si>
    <t>Panela en cuadro</t>
  </si>
  <si>
    <t>Sacha inchi con sal</t>
  </si>
  <si>
    <t>Sacha inchi confitado</t>
  </si>
  <si>
    <t>Sachainchi natural</t>
  </si>
  <si>
    <t>Brócoli</t>
  </si>
  <si>
    <t>Caléndula</t>
  </si>
  <si>
    <t>Lechuga batavia</t>
  </si>
  <si>
    <t>Papa capira</t>
  </si>
  <si>
    <t>Repollo verde</t>
  </si>
  <si>
    <t>Dulce de breva</t>
  </si>
  <si>
    <t>Dulce de guayaba</t>
  </si>
  <si>
    <t>Dulce de leche</t>
  </si>
  <si>
    <t>Miel de abeja con fruta deshidratada para infusiones.</t>
  </si>
  <si>
    <t>Plátano verde</t>
  </si>
  <si>
    <t>Pollo criollo</t>
  </si>
  <si>
    <t>Pollo semicriollo</t>
  </si>
  <si>
    <t xml:space="preserve">Arepa de callana </t>
  </si>
  <si>
    <t xml:space="preserve">Huevo criollo </t>
  </si>
  <si>
    <t>Huevo feliz</t>
  </si>
  <si>
    <t>Limón mandarino</t>
  </si>
  <si>
    <t xml:space="preserve">Tomate de árbol </t>
  </si>
  <si>
    <t>Café bourbon rojo y amarillo</t>
  </si>
  <si>
    <t>Hongos Comestibles</t>
  </si>
  <si>
    <t>Aromática de hierbabuena</t>
  </si>
  <si>
    <t>Aromática de romero</t>
  </si>
  <si>
    <t>Aromática de anís</t>
  </si>
  <si>
    <t>1 kilo - 8 Porciones</t>
  </si>
  <si>
    <t xml:space="preserve">Paquete x 2 unidades </t>
  </si>
  <si>
    <t>Sazón verde (Grande)</t>
  </si>
  <si>
    <t>Fruta deshidratada frutos rojos (mora, fresa, flor de jamaica), frutos amarillos (piña, uvilla, papaya) para infusiones (Grande).</t>
  </si>
  <si>
    <t>Fruta deshidratada frutos rojos (mora, fresa, flor de jamaica), frutos amarillos (piña, uvilla, papaya) para infusiones (Pequeña).</t>
  </si>
  <si>
    <t>Orellana (Mediana)</t>
  </si>
  <si>
    <t>Orellana (Pequeña)</t>
  </si>
  <si>
    <t>Aceite de naranja</t>
  </si>
  <si>
    <t>250 ml</t>
  </si>
  <si>
    <t>Dulce de chilacuán (Pequeño)</t>
  </si>
  <si>
    <t>Dulce de chilacuán (Grande)</t>
  </si>
  <si>
    <t>Dulce de leche (Grande)</t>
  </si>
  <si>
    <t>Dulce de mora (Grande)</t>
  </si>
  <si>
    <t>Sazón rojo (Grande)</t>
  </si>
  <si>
    <t>Orellana (Grande)</t>
  </si>
  <si>
    <t>Panela pulverizada (Grande)</t>
  </si>
  <si>
    <t>Sábila (Grande)</t>
  </si>
  <si>
    <t>Dulce de breva (Grande)</t>
  </si>
  <si>
    <t>Dulce de mora (Pequeño)</t>
  </si>
  <si>
    <t>Fruta deshidratada (Grande)</t>
  </si>
  <si>
    <t>Sazón rojo (Pequeño)</t>
  </si>
  <si>
    <t>Sazón blanco (Grande)</t>
  </si>
  <si>
    <t>Sazón verde (Pequeño)</t>
  </si>
  <si>
    <t>Fruta deshidratada (Pequeña)</t>
  </si>
  <si>
    <t>Fruta deshidratada (Mediana)</t>
  </si>
  <si>
    <t>Sazón blanco (Pequeño)</t>
  </si>
  <si>
    <t>Café Magia en tu boca (Grano)</t>
  </si>
  <si>
    <t>Café Magia en tu boca (Molido)</t>
  </si>
  <si>
    <t>200 gr</t>
  </si>
  <si>
    <t>120 gr</t>
  </si>
  <si>
    <t>Albahaca en polvo</t>
  </si>
  <si>
    <t>Tomillo en polvo</t>
  </si>
  <si>
    <t>Condimento verde en polvo</t>
  </si>
  <si>
    <t>Mix aromático (Anís, amaranto, hierbabuena y ahlelí).</t>
  </si>
  <si>
    <t>Tomillo fresco</t>
  </si>
  <si>
    <t>Sábila (Pequeña)</t>
  </si>
  <si>
    <t>Gelatina de pata negra</t>
  </si>
  <si>
    <t>250 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</si>
</sst>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[$$-240A]\ #,##0"/>
    <numFmt numFmtId="165" formatCode="&quot;$&quot;\ #,##0"/>
    <numFmt numFmtId="166" formatCode="_-&quot;$&quot;\ * #,##0_-;\-&quot;$&quot;\ * #,##0_-;_-&quot;$&quot;\ 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00FF0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45B0E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45B0E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45B0E1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0" fillId="0" borderId="6" xfId="0" applyBorder="1"/>
    <xf numFmtId="166" fontId="2" fillId="0" borderId="0" xfId="1" applyNumberFormat="1" applyFont="1"/>
    <xf numFmtId="166" fontId="0" fillId="0" borderId="0" xfId="1" applyNumberFormat="1" applyFont="1"/>
    <xf numFmtId="0" fontId="5" fillId="0" borderId="6" xfId="0" applyFont="1" applyBorder="1"/>
    <xf numFmtId="165" fontId="5" fillId="0" borderId="6" xfId="0" applyNumberFormat="1" applyFont="1" applyBorder="1"/>
    <xf numFmtId="166" fontId="5" fillId="0" borderId="6" xfId="1" applyNumberFormat="1" applyFont="1" applyBorder="1"/>
    <xf numFmtId="164" fontId="5" fillId="0" borderId="6" xfId="0" applyNumberFormat="1" applyFont="1" applyBorder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8" fillId="0" borderId="2" xfId="0" applyFont="1" applyBorder="1" applyAlignment="1">
      <alignment horizontal="center"/>
    </xf>
    <xf numFmtId="166" fontId="8" fillId="0" borderId="6" xfId="1" applyNumberFormat="1" applyFont="1" applyBorder="1" applyAlignment="1">
      <alignment horizontal="center"/>
    </xf>
    <xf numFmtId="164" fontId="8" fillId="0" borderId="8" xfId="0" applyNumberFormat="1" applyFont="1" applyBorder="1"/>
    <xf numFmtId="0" fontId="7" fillId="0" borderId="6" xfId="0" applyFont="1" applyBorder="1"/>
    <xf numFmtId="0" fontId="9" fillId="0" borderId="3" xfId="0" applyFont="1" applyBorder="1"/>
    <xf numFmtId="165" fontId="9" fillId="0" borderId="1" xfId="0" applyNumberFormat="1" applyFont="1" applyBorder="1"/>
    <xf numFmtId="166" fontId="9" fillId="0" borderId="5" xfId="1" applyNumberFormat="1" applyFont="1" applyBorder="1"/>
    <xf numFmtId="164" fontId="9" fillId="0" borderId="9" xfId="0" applyNumberFormat="1" applyFont="1" applyBorder="1"/>
    <xf numFmtId="165" fontId="9" fillId="0" borderId="6" xfId="0" applyNumberFormat="1" applyFont="1" applyBorder="1"/>
    <xf numFmtId="0" fontId="9" fillId="0" borderId="1" xfId="0" applyFont="1" applyBorder="1"/>
    <xf numFmtId="0" fontId="9" fillId="0" borderId="4" xfId="0" applyFont="1" applyBorder="1"/>
    <xf numFmtId="0" fontId="9" fillId="2" borderId="1" xfId="0" applyFont="1" applyFill="1" applyBorder="1"/>
    <xf numFmtId="165" fontId="9" fillId="2" borderId="1" xfId="0" applyNumberFormat="1" applyFont="1" applyFill="1" applyBorder="1"/>
    <xf numFmtId="0" fontId="10" fillId="0" borderId="6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164" fontId="8" fillId="0" borderId="2" xfId="0" applyNumberFormat="1" applyFont="1" applyBorder="1"/>
    <xf numFmtId="164" fontId="9" fillId="0" borderId="1" xfId="0" applyNumberFormat="1" applyFont="1" applyBorder="1"/>
    <xf numFmtId="164" fontId="9" fillId="0" borderId="2" xfId="0" applyNumberFormat="1" applyFont="1" applyBorder="1"/>
    <xf numFmtId="0" fontId="9" fillId="2" borderId="3" xfId="0" applyFont="1" applyFill="1" applyBorder="1"/>
    <xf numFmtId="0" fontId="8" fillId="0" borderId="6" xfId="0" applyFont="1" applyBorder="1"/>
    <xf numFmtId="164" fontId="8" fillId="0" borderId="6" xfId="0" applyNumberFormat="1" applyFont="1" applyBorder="1"/>
    <xf numFmtId="0" fontId="9" fillId="0" borderId="6" xfId="0" applyFont="1" applyBorder="1"/>
    <xf numFmtId="164" fontId="9" fillId="0" borderId="6" xfId="0" applyNumberFormat="1" applyFont="1" applyBorder="1"/>
    <xf numFmtId="0" fontId="8" fillId="0" borderId="6" xfId="0" applyFont="1" applyBorder="1" applyAlignment="1">
      <alignment horizontal="center" wrapText="1"/>
    </xf>
    <xf numFmtId="0" fontId="8" fillId="0" borderId="6" xfId="0" applyFont="1" applyBorder="1" applyAlignment="1">
      <alignment wrapText="1"/>
    </xf>
    <xf numFmtId="164" fontId="8" fillId="0" borderId="6" xfId="0" applyNumberFormat="1" applyFont="1" applyBorder="1" applyAlignment="1">
      <alignment wrapText="1"/>
    </xf>
    <xf numFmtId="0" fontId="7" fillId="0" borderId="6" xfId="0" applyFont="1" applyBorder="1" applyAlignment="1">
      <alignment wrapText="1"/>
    </xf>
    <xf numFmtId="0" fontId="9" fillId="0" borderId="6" xfId="0" applyFont="1" applyBorder="1" applyAlignment="1">
      <alignment vertical="center" wrapText="1"/>
    </xf>
    <xf numFmtId="165" fontId="9" fillId="0" borderId="6" xfId="0" applyNumberFormat="1" applyFont="1" applyBorder="1" applyAlignment="1">
      <alignment vertical="center" wrapText="1"/>
    </xf>
    <xf numFmtId="166" fontId="9" fillId="0" borderId="6" xfId="1" applyNumberFormat="1" applyFont="1" applyBorder="1" applyAlignment="1">
      <alignment vertical="center" wrapText="1"/>
    </xf>
    <xf numFmtId="164" fontId="9" fillId="0" borderId="6" xfId="0" applyNumberFormat="1" applyFont="1" applyBorder="1" applyAlignment="1">
      <alignment vertical="center" wrapText="1"/>
    </xf>
    <xf numFmtId="3" fontId="7" fillId="0" borderId="6" xfId="0" applyNumberFormat="1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11" fillId="0" borderId="6" xfId="0" applyFont="1" applyBorder="1" applyAlignment="1">
      <alignment horizontal="center"/>
    </xf>
    <xf numFmtId="165" fontId="5" fillId="3" borderId="6" xfId="0" applyNumberFormat="1" applyFont="1" applyFill="1" applyBorder="1"/>
    <xf numFmtId="165" fontId="5" fillId="4" borderId="6" xfId="0" applyNumberFormat="1" applyFont="1" applyFill="1" applyBorder="1"/>
    <xf numFmtId="166" fontId="5" fillId="0" borderId="6" xfId="1" applyNumberFormat="1" applyFont="1" applyFill="1" applyBorder="1"/>
    <xf numFmtId="0" fontId="6" fillId="0" borderId="6" xfId="0" applyFont="1" applyBorder="1" applyAlignment="1">
      <alignment horizontal="center"/>
    </xf>
    <xf numFmtId="164" fontId="11" fillId="0" borderId="6" xfId="0" applyNumberFormat="1" applyFont="1" applyBorder="1" applyAlignment="1">
      <alignment horizontal="center"/>
    </xf>
    <xf numFmtId="0" fontId="5" fillId="3" borderId="6" xfId="0" applyFont="1" applyFill="1" applyBorder="1"/>
    <xf numFmtId="164" fontId="5" fillId="3" borderId="6" xfId="0" applyNumberFormat="1" applyFont="1" applyFill="1" applyBorder="1"/>
    <xf numFmtId="0" fontId="5" fillId="4" borderId="6" xfId="0" applyFont="1" applyFill="1" applyBorder="1"/>
    <xf numFmtId="164" fontId="5" fillId="4" borderId="6" xfId="0" applyNumberFormat="1" applyFont="1" applyFill="1" applyBorder="1"/>
    <xf numFmtId="0" fontId="0" fillId="0" borderId="0" xfId="0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4" fillId="0" borderId="10" xfId="0" applyFont="1" applyBorder="1"/>
    <xf numFmtId="0" fontId="13" fillId="0" borderId="6" xfId="0" applyFont="1" applyBorder="1"/>
    <xf numFmtId="0" fontId="15" fillId="0" borderId="5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/>
    </xf>
    <xf numFmtId="0" fontId="14" fillId="0" borderId="3" xfId="0" applyFont="1" applyBorder="1"/>
    <xf numFmtId="0" fontId="14" fillId="0" borderId="3" xfId="0" applyFont="1" applyBorder="1" applyAlignment="1">
      <alignment wrapText="1"/>
    </xf>
    <xf numFmtId="165" fontId="14" fillId="0" borderId="1" xfId="0" applyNumberFormat="1" applyFont="1" applyBorder="1"/>
    <xf numFmtId="0" fontId="14" fillId="0" borderId="3" xfId="0" applyFont="1" applyBorder="1" applyAlignment="1">
      <alignment vertical="center"/>
    </xf>
    <xf numFmtId="0" fontId="14" fillId="0" borderId="3" xfId="0" applyFont="1" applyBorder="1" applyAlignment="1">
      <alignment vertical="center" wrapText="1"/>
    </xf>
    <xf numFmtId="165" fontId="14" fillId="0" borderId="1" xfId="0" applyNumberFormat="1" applyFont="1" applyBorder="1" applyAlignment="1">
      <alignment vertical="center"/>
    </xf>
    <xf numFmtId="0" fontId="14" fillId="0" borderId="11" xfId="0" applyFont="1" applyBorder="1" applyAlignment="1">
      <alignment wrapText="1"/>
    </xf>
    <xf numFmtId="0" fontId="14" fillId="0" borderId="11" xfId="0" applyFont="1" applyBorder="1"/>
    <xf numFmtId="165" fontId="14" fillId="0" borderId="7" xfId="0" applyNumberFormat="1" applyFont="1" applyBorder="1"/>
    <xf numFmtId="0" fontId="14" fillId="0" borderId="10" xfId="0" applyFont="1" applyBorder="1" applyAlignment="1">
      <alignment wrapText="1"/>
    </xf>
    <xf numFmtId="0" fontId="14" fillId="0" borderId="10" xfId="0" applyFont="1" applyBorder="1"/>
    <xf numFmtId="165" fontId="14" fillId="0" borderId="10" xfId="0" applyNumberFormat="1" applyFont="1" applyBorder="1"/>
    <xf numFmtId="0" fontId="14" fillId="0" borderId="6" xfId="0" applyFont="1" applyBorder="1"/>
    <xf numFmtId="0" fontId="14" fillId="0" borderId="6" xfId="0" applyFont="1" applyBorder="1" applyAlignment="1">
      <alignment wrapText="1"/>
    </xf>
    <xf numFmtId="165" fontId="14" fillId="0" borderId="6" xfId="0" applyNumberFormat="1" applyFont="1" applyBorder="1"/>
    <xf numFmtId="0" fontId="14" fillId="0" borderId="0" xfId="0" applyFont="1"/>
    <xf numFmtId="0" fontId="14" fillId="0" borderId="0" xfId="0" applyFont="1" applyAlignment="1">
      <alignment wrapText="1"/>
    </xf>
    <xf numFmtId="0" fontId="4" fillId="0" borderId="3" xfId="0" applyFont="1" applyBorder="1"/>
    <xf numFmtId="0" fontId="4" fillId="0" borderId="3" xfId="0" applyFont="1" applyBorder="1" applyAlignment="1">
      <alignment vertical="center"/>
    </xf>
    <xf numFmtId="0" fontId="4" fillId="0" borderId="11" xfId="0" applyFont="1" applyBorder="1"/>
  </cellXfs>
  <cellStyles count="2">
    <cellStyle name="Moneda" xfId="1" builtinId="4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$&quot;\ #,##0"/>
      <fill>
        <patternFill patternType="none">
          <fgColor indexed="64"/>
          <bgColor auto="1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45B0E1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45B0E1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45B0E1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45B0E1"/>
        </top>
        <bottom style="thin">
          <color rgb="FF000000"/>
        </bottom>
      </border>
    </dxf>
    <dxf>
      <border outline="0">
        <right style="thin">
          <color rgb="FF000000"/>
        </right>
        <top style="thin">
          <color rgb="FF000000"/>
        </top>
      </border>
    </dxf>
  </dxfs>
  <tableStyles count="0" defaultTableStyle="TableStyleMedium2" defaultPivotStyle="PivotStyleLight16"/>
  <colors>
    <mruColors>
      <color rgb="FF00FFCC"/>
      <color rgb="FF00CCFF"/>
      <color rgb="FFFF66FF"/>
      <color rgb="FFCCFF99"/>
      <color rgb="FF33CCFF"/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754792-63FF-4C0F-B468-628853F7F6B7}" name="Oferta" displayName="Oferta" ref="A1:E128" totalsRowShown="0" tableBorderDxfId="5">
  <autoFilter ref="A1:E128" xr:uid="{C4754792-63FF-4C0F-B468-628853F7F6B7}"/>
  <sortState xmlns:xlrd2="http://schemas.microsoft.com/office/spreadsheetml/2017/richdata2" ref="A2:E127">
    <sortCondition ref="A1:A127"/>
  </sortState>
  <tableColumns count="5">
    <tableColumn id="3" xr3:uid="{15BD2DD6-4252-46D2-81A3-6C7FE78E7468}" name="Municipio" dataDxfId="4"/>
    <tableColumn id="4" xr3:uid="{4F43C02C-BA7E-4388-A8C5-1968DA21CA19}" name="Categoría" dataDxfId="3"/>
    <tableColumn id="5" xr3:uid="{BA5D2676-C25F-42A7-AB97-C4196AF762C1}" name="Producto" dataDxfId="2"/>
    <tableColumn id="7" xr3:uid="{D1E28933-1E1D-4E00-9B23-046D6C72E475}" name="Presentación" dataDxfId="1"/>
    <tableColumn id="8" xr3:uid="{E4B1ED82-78D8-4E74-9954-CFE0C0E7FF1C}" name="Costo Pcc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</sheetPr>
  <dimension ref="A1:J20"/>
  <sheetViews>
    <sheetView workbookViewId="0"/>
  </sheetViews>
  <sheetFormatPr baseColWidth="10" defaultRowHeight="14.4" x14ac:dyDescent="0.3"/>
  <cols>
    <col min="3" max="3" width="19.5546875" bestFit="1" customWidth="1"/>
    <col min="5" max="5" width="18.5546875" bestFit="1" customWidth="1"/>
    <col min="7" max="8" width="12.6640625" style="4" customWidth="1"/>
    <col min="9" max="9" width="14.44140625" customWidth="1"/>
    <col min="10" max="10" width="14.5546875" customWidth="1"/>
  </cols>
  <sheetData>
    <row r="1" spans="1:10" x14ac:dyDescent="0.3">
      <c r="A1" s="9" t="s">
        <v>0</v>
      </c>
      <c r="B1" s="10" t="s">
        <v>1</v>
      </c>
      <c r="C1" s="9" t="s">
        <v>2</v>
      </c>
      <c r="D1" s="9" t="s">
        <v>3</v>
      </c>
      <c r="E1" s="9" t="s">
        <v>4</v>
      </c>
      <c r="F1" s="11" t="s">
        <v>6</v>
      </c>
      <c r="G1" s="12" t="s">
        <v>234</v>
      </c>
      <c r="H1" s="12" t="s">
        <v>233</v>
      </c>
      <c r="I1" s="13" t="s">
        <v>255</v>
      </c>
      <c r="J1" s="24" t="s">
        <v>257</v>
      </c>
    </row>
    <row r="2" spans="1:10" x14ac:dyDescent="0.3">
      <c r="A2" s="15" t="s">
        <v>39</v>
      </c>
      <c r="B2" s="15" t="s">
        <v>7</v>
      </c>
      <c r="C2" s="15" t="s">
        <v>16</v>
      </c>
      <c r="D2" s="15" t="s">
        <v>9</v>
      </c>
      <c r="E2" s="15" t="s">
        <v>17</v>
      </c>
      <c r="F2" s="16">
        <v>2250</v>
      </c>
      <c r="G2" s="17">
        <f>F2*5%</f>
        <v>112.5</v>
      </c>
      <c r="H2" s="17">
        <f>F2*5%</f>
        <v>112.5</v>
      </c>
      <c r="I2" s="18">
        <f>F2+G2+H2</f>
        <v>2475</v>
      </c>
      <c r="J2" s="19">
        <v>2500</v>
      </c>
    </row>
    <row r="3" spans="1:10" x14ac:dyDescent="0.3">
      <c r="A3" s="20" t="s">
        <v>40</v>
      </c>
      <c r="B3" s="20" t="s">
        <v>7</v>
      </c>
      <c r="C3" s="20" t="s">
        <v>37</v>
      </c>
      <c r="D3" s="20" t="s">
        <v>9</v>
      </c>
      <c r="E3" s="20" t="s">
        <v>38</v>
      </c>
      <c r="F3" s="16">
        <v>2250</v>
      </c>
      <c r="G3" s="17">
        <f t="shared" ref="G3:G19" si="0">F3*5%</f>
        <v>112.5</v>
      </c>
      <c r="H3" s="17">
        <f t="shared" ref="H3:H19" si="1">F3*5%</f>
        <v>112.5</v>
      </c>
      <c r="I3" s="18">
        <f t="shared" ref="I3:I19" si="2">F3+G3+H3</f>
        <v>2475</v>
      </c>
      <c r="J3" s="19">
        <v>2500</v>
      </c>
    </row>
    <row r="4" spans="1:10" x14ac:dyDescent="0.3">
      <c r="A4" s="20" t="s">
        <v>41</v>
      </c>
      <c r="B4" s="20" t="s">
        <v>7</v>
      </c>
      <c r="C4" s="20" t="s">
        <v>18</v>
      </c>
      <c r="D4" s="20" t="s">
        <v>9</v>
      </c>
      <c r="E4" s="20" t="s">
        <v>17</v>
      </c>
      <c r="F4" s="16">
        <v>2250</v>
      </c>
      <c r="G4" s="17">
        <f t="shared" si="0"/>
        <v>112.5</v>
      </c>
      <c r="H4" s="17">
        <f t="shared" si="1"/>
        <v>112.5</v>
      </c>
      <c r="I4" s="18">
        <f t="shared" si="2"/>
        <v>2475</v>
      </c>
      <c r="J4" s="19">
        <v>2500</v>
      </c>
    </row>
    <row r="5" spans="1:10" x14ac:dyDescent="0.3">
      <c r="A5" s="20" t="s">
        <v>42</v>
      </c>
      <c r="B5" s="20" t="s">
        <v>7</v>
      </c>
      <c r="C5" s="20" t="s">
        <v>19</v>
      </c>
      <c r="D5" s="15" t="s">
        <v>9</v>
      </c>
      <c r="E5" s="20" t="s">
        <v>17</v>
      </c>
      <c r="F5" s="16">
        <v>2250</v>
      </c>
      <c r="G5" s="17">
        <f t="shared" si="0"/>
        <v>112.5</v>
      </c>
      <c r="H5" s="17">
        <f t="shared" si="1"/>
        <v>112.5</v>
      </c>
      <c r="I5" s="18">
        <f t="shared" si="2"/>
        <v>2475</v>
      </c>
      <c r="J5" s="19">
        <v>2500</v>
      </c>
    </row>
    <row r="6" spans="1:10" x14ac:dyDescent="0.3">
      <c r="A6" s="20" t="s">
        <v>43</v>
      </c>
      <c r="B6" s="20" t="s">
        <v>7</v>
      </c>
      <c r="C6" s="20" t="s">
        <v>33</v>
      </c>
      <c r="D6" s="15" t="s">
        <v>9</v>
      </c>
      <c r="E6" s="20" t="s">
        <v>34</v>
      </c>
      <c r="F6" s="16">
        <v>2000</v>
      </c>
      <c r="G6" s="17">
        <f t="shared" si="0"/>
        <v>100</v>
      </c>
      <c r="H6" s="17">
        <f t="shared" si="1"/>
        <v>100</v>
      </c>
      <c r="I6" s="18">
        <f t="shared" si="2"/>
        <v>2200</v>
      </c>
      <c r="J6" s="19">
        <v>2500</v>
      </c>
    </row>
    <row r="7" spans="1:10" x14ac:dyDescent="0.3">
      <c r="A7" s="20" t="s">
        <v>44</v>
      </c>
      <c r="B7" s="20" t="s">
        <v>7</v>
      </c>
      <c r="C7" s="20" t="s">
        <v>33</v>
      </c>
      <c r="D7" s="15" t="s">
        <v>9</v>
      </c>
      <c r="E7" s="20" t="s">
        <v>35</v>
      </c>
      <c r="F7" s="16">
        <v>1000</v>
      </c>
      <c r="G7" s="17">
        <f t="shared" si="0"/>
        <v>50</v>
      </c>
      <c r="H7" s="17">
        <f t="shared" si="1"/>
        <v>50</v>
      </c>
      <c r="I7" s="18">
        <f t="shared" si="2"/>
        <v>1100</v>
      </c>
      <c r="J7" s="19">
        <v>1300</v>
      </c>
    </row>
    <row r="8" spans="1:10" x14ac:dyDescent="0.3">
      <c r="A8" s="20" t="s">
        <v>45</v>
      </c>
      <c r="B8" s="20" t="s">
        <v>7</v>
      </c>
      <c r="C8" s="20" t="s">
        <v>8</v>
      </c>
      <c r="D8" s="15" t="s">
        <v>9</v>
      </c>
      <c r="E8" s="20" t="s">
        <v>10</v>
      </c>
      <c r="F8" s="16">
        <v>2500</v>
      </c>
      <c r="G8" s="17">
        <f t="shared" si="0"/>
        <v>125</v>
      </c>
      <c r="H8" s="17">
        <f t="shared" si="1"/>
        <v>125</v>
      </c>
      <c r="I8" s="18">
        <f t="shared" si="2"/>
        <v>2750</v>
      </c>
      <c r="J8" s="19">
        <v>3000</v>
      </c>
    </row>
    <row r="9" spans="1:10" x14ac:dyDescent="0.3">
      <c r="A9" s="20" t="s">
        <v>46</v>
      </c>
      <c r="B9" s="20" t="s">
        <v>7</v>
      </c>
      <c r="C9" s="20" t="s">
        <v>26</v>
      </c>
      <c r="D9" s="15" t="s">
        <v>9</v>
      </c>
      <c r="E9" s="20" t="s">
        <v>27</v>
      </c>
      <c r="F9" s="16">
        <v>16000</v>
      </c>
      <c r="G9" s="17">
        <f t="shared" si="0"/>
        <v>800</v>
      </c>
      <c r="H9" s="17">
        <f t="shared" si="1"/>
        <v>800</v>
      </c>
      <c r="I9" s="18">
        <f t="shared" si="2"/>
        <v>17600</v>
      </c>
      <c r="J9" s="19">
        <v>18000</v>
      </c>
    </row>
    <row r="10" spans="1:10" x14ac:dyDescent="0.3">
      <c r="A10" s="20" t="s">
        <v>47</v>
      </c>
      <c r="B10" s="20" t="s">
        <v>7</v>
      </c>
      <c r="C10" s="20" t="s">
        <v>28</v>
      </c>
      <c r="D10" s="20" t="s">
        <v>9</v>
      </c>
      <c r="E10" s="20" t="s">
        <v>29</v>
      </c>
      <c r="F10" s="16">
        <v>5000</v>
      </c>
      <c r="G10" s="17">
        <f t="shared" si="0"/>
        <v>250</v>
      </c>
      <c r="H10" s="17">
        <f t="shared" si="1"/>
        <v>250</v>
      </c>
      <c r="I10" s="18">
        <f t="shared" si="2"/>
        <v>5500</v>
      </c>
      <c r="J10" s="19">
        <v>6000</v>
      </c>
    </row>
    <row r="11" spans="1:10" x14ac:dyDescent="0.3">
      <c r="A11" s="21" t="s">
        <v>48</v>
      </c>
      <c r="B11" s="21" t="s">
        <v>7</v>
      </c>
      <c r="C11" s="21" t="s">
        <v>28</v>
      </c>
      <c r="D11" s="20" t="s">
        <v>9</v>
      </c>
      <c r="E11" s="20" t="s">
        <v>13</v>
      </c>
      <c r="F11" s="16">
        <v>10000</v>
      </c>
      <c r="G11" s="17">
        <f t="shared" si="0"/>
        <v>500</v>
      </c>
      <c r="H11" s="17">
        <f t="shared" si="1"/>
        <v>500</v>
      </c>
      <c r="I11" s="18">
        <f t="shared" si="2"/>
        <v>11000</v>
      </c>
      <c r="J11" s="19">
        <v>12000</v>
      </c>
    </row>
    <row r="12" spans="1:10" x14ac:dyDescent="0.3">
      <c r="A12" s="20" t="s">
        <v>49</v>
      </c>
      <c r="B12" s="20" t="s">
        <v>7</v>
      </c>
      <c r="C12" s="20" t="s">
        <v>28</v>
      </c>
      <c r="D12" s="20" t="s">
        <v>9</v>
      </c>
      <c r="E12" s="20" t="s">
        <v>30</v>
      </c>
      <c r="F12" s="16">
        <v>20000</v>
      </c>
      <c r="G12" s="17">
        <f t="shared" si="0"/>
        <v>1000</v>
      </c>
      <c r="H12" s="17">
        <f t="shared" si="1"/>
        <v>1000</v>
      </c>
      <c r="I12" s="18">
        <f t="shared" si="2"/>
        <v>22000</v>
      </c>
      <c r="J12" s="19">
        <v>22000</v>
      </c>
    </row>
    <row r="13" spans="1:10" x14ac:dyDescent="0.3">
      <c r="A13" s="20" t="s">
        <v>50</v>
      </c>
      <c r="B13" s="20" t="s">
        <v>7</v>
      </c>
      <c r="C13" s="20" t="s">
        <v>24</v>
      </c>
      <c r="D13" s="20" t="s">
        <v>9</v>
      </c>
      <c r="E13" s="20" t="s">
        <v>25</v>
      </c>
      <c r="F13" s="16">
        <v>4500</v>
      </c>
      <c r="G13" s="17">
        <f t="shared" si="0"/>
        <v>225</v>
      </c>
      <c r="H13" s="17">
        <f t="shared" si="1"/>
        <v>225</v>
      </c>
      <c r="I13" s="18">
        <f t="shared" si="2"/>
        <v>4950</v>
      </c>
      <c r="J13" s="19">
        <v>5000</v>
      </c>
    </row>
    <row r="14" spans="1:10" x14ac:dyDescent="0.3">
      <c r="A14" s="20" t="s">
        <v>51</v>
      </c>
      <c r="B14" s="20" t="s">
        <v>7</v>
      </c>
      <c r="C14" s="20" t="s">
        <v>11</v>
      </c>
      <c r="D14" s="20" t="s">
        <v>12</v>
      </c>
      <c r="E14" s="20" t="s">
        <v>13</v>
      </c>
      <c r="F14" s="16">
        <v>5000</v>
      </c>
      <c r="G14" s="17">
        <f t="shared" si="0"/>
        <v>250</v>
      </c>
      <c r="H14" s="17">
        <f t="shared" si="1"/>
        <v>250</v>
      </c>
      <c r="I14" s="18">
        <f t="shared" si="2"/>
        <v>5500</v>
      </c>
      <c r="J14" s="19">
        <v>6000</v>
      </c>
    </row>
    <row r="15" spans="1:10" x14ac:dyDescent="0.3">
      <c r="A15" s="20" t="s">
        <v>52</v>
      </c>
      <c r="B15" s="20" t="s">
        <v>7</v>
      </c>
      <c r="C15" s="20" t="s">
        <v>11</v>
      </c>
      <c r="D15" s="20" t="s">
        <v>14</v>
      </c>
      <c r="E15" s="20" t="s">
        <v>15</v>
      </c>
      <c r="F15" s="16">
        <v>3500</v>
      </c>
      <c r="G15" s="17">
        <f t="shared" si="0"/>
        <v>175</v>
      </c>
      <c r="H15" s="17">
        <f t="shared" si="1"/>
        <v>175</v>
      </c>
      <c r="I15" s="18">
        <f t="shared" si="2"/>
        <v>3850</v>
      </c>
      <c r="J15" s="19">
        <v>4000</v>
      </c>
    </row>
    <row r="16" spans="1:10" x14ac:dyDescent="0.3">
      <c r="A16" s="20" t="s">
        <v>53</v>
      </c>
      <c r="B16" s="20" t="s">
        <v>7</v>
      </c>
      <c r="C16" s="20" t="s">
        <v>36</v>
      </c>
      <c r="D16" s="20" t="s">
        <v>9</v>
      </c>
      <c r="E16" s="20" t="s">
        <v>34</v>
      </c>
      <c r="F16" s="16">
        <v>2000</v>
      </c>
      <c r="G16" s="17">
        <f t="shared" si="0"/>
        <v>100</v>
      </c>
      <c r="H16" s="17">
        <f t="shared" si="1"/>
        <v>100</v>
      </c>
      <c r="I16" s="18">
        <f t="shared" si="2"/>
        <v>2200</v>
      </c>
      <c r="J16" s="19">
        <v>2500</v>
      </c>
    </row>
    <row r="17" spans="1:10" x14ac:dyDescent="0.3">
      <c r="A17" s="22" t="s">
        <v>54</v>
      </c>
      <c r="B17" s="22" t="s">
        <v>7</v>
      </c>
      <c r="C17" s="22" t="s">
        <v>22</v>
      </c>
      <c r="D17" s="22" t="s">
        <v>9</v>
      </c>
      <c r="E17" s="22" t="s">
        <v>21</v>
      </c>
      <c r="F17" s="23">
        <v>2500</v>
      </c>
      <c r="G17" s="17">
        <f t="shared" si="0"/>
        <v>125</v>
      </c>
      <c r="H17" s="17">
        <f t="shared" si="1"/>
        <v>125</v>
      </c>
      <c r="I17" s="18">
        <f t="shared" si="2"/>
        <v>2750</v>
      </c>
      <c r="J17" s="19">
        <v>3000</v>
      </c>
    </row>
    <row r="18" spans="1:10" x14ac:dyDescent="0.3">
      <c r="A18" s="20" t="s">
        <v>55</v>
      </c>
      <c r="B18" s="20" t="s">
        <v>7</v>
      </c>
      <c r="C18" s="20" t="s">
        <v>23</v>
      </c>
      <c r="D18" s="20" t="s">
        <v>9</v>
      </c>
      <c r="E18" s="20" t="s">
        <v>21</v>
      </c>
      <c r="F18" s="16">
        <v>2500</v>
      </c>
      <c r="G18" s="17">
        <f t="shared" si="0"/>
        <v>125</v>
      </c>
      <c r="H18" s="17">
        <f t="shared" si="1"/>
        <v>125</v>
      </c>
      <c r="I18" s="18">
        <f t="shared" si="2"/>
        <v>2750</v>
      </c>
      <c r="J18" s="19">
        <v>3000</v>
      </c>
    </row>
    <row r="19" spans="1:10" x14ac:dyDescent="0.3">
      <c r="A19" s="20" t="s">
        <v>56</v>
      </c>
      <c r="B19" s="20" t="s">
        <v>7</v>
      </c>
      <c r="C19" s="20" t="s">
        <v>20</v>
      </c>
      <c r="D19" s="20" t="s">
        <v>9</v>
      </c>
      <c r="E19" s="20" t="s">
        <v>21</v>
      </c>
      <c r="F19" s="16">
        <v>2500</v>
      </c>
      <c r="G19" s="17">
        <f t="shared" si="0"/>
        <v>125</v>
      </c>
      <c r="H19" s="17">
        <f t="shared" si="1"/>
        <v>125</v>
      </c>
      <c r="I19" s="18">
        <f t="shared" si="2"/>
        <v>2750</v>
      </c>
      <c r="J19" s="19">
        <v>3000</v>
      </c>
    </row>
    <row r="20" spans="1:10" x14ac:dyDescent="0.3">
      <c r="A20" s="1"/>
      <c r="B20" s="1"/>
      <c r="C20" s="1"/>
      <c r="D20" s="1"/>
      <c r="E20" s="1"/>
      <c r="F20" s="1"/>
      <c r="G20" s="3"/>
      <c r="H20" s="3"/>
      <c r="I20" s="1"/>
      <c r="J20" s="1"/>
    </row>
  </sheetData>
  <sortState xmlns:xlrd2="http://schemas.microsoft.com/office/spreadsheetml/2017/richdata2" ref="A2:H20">
    <sortCondition ref="C2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J5"/>
  <sheetViews>
    <sheetView workbookViewId="0"/>
  </sheetViews>
  <sheetFormatPr baseColWidth="10" defaultRowHeight="14.4" x14ac:dyDescent="0.3"/>
  <cols>
    <col min="5" max="5" width="13.44140625" bestFit="1" customWidth="1"/>
    <col min="7" max="7" width="12.6640625" bestFit="1" customWidth="1"/>
    <col min="8" max="8" width="15.33203125" customWidth="1"/>
    <col min="9" max="9" width="12.6640625" bestFit="1" customWidth="1"/>
    <col min="10" max="10" width="13.6640625" bestFit="1" customWidth="1"/>
  </cols>
  <sheetData>
    <row r="1" spans="1:10" x14ac:dyDescent="0.3">
      <c r="A1" s="9" t="s">
        <v>0</v>
      </c>
      <c r="B1" s="10" t="s">
        <v>1</v>
      </c>
      <c r="C1" s="9" t="s">
        <v>2</v>
      </c>
      <c r="D1" s="9" t="s">
        <v>3</v>
      </c>
      <c r="E1" s="9" t="s">
        <v>4</v>
      </c>
      <c r="F1" s="11" t="s">
        <v>6</v>
      </c>
      <c r="G1" s="12" t="s">
        <v>234</v>
      </c>
      <c r="H1" s="12" t="s">
        <v>233</v>
      </c>
      <c r="I1" s="13" t="s">
        <v>5</v>
      </c>
      <c r="J1" s="24" t="s">
        <v>258</v>
      </c>
    </row>
    <row r="2" spans="1:10" x14ac:dyDescent="0.3">
      <c r="A2" s="15" t="s">
        <v>65</v>
      </c>
      <c r="B2" s="15" t="s">
        <v>57</v>
      </c>
      <c r="C2" s="15" t="s">
        <v>61</v>
      </c>
      <c r="D2" s="15" t="s">
        <v>9</v>
      </c>
      <c r="E2" s="15" t="s">
        <v>62</v>
      </c>
      <c r="F2" s="16">
        <v>2000</v>
      </c>
      <c r="G2" s="17">
        <f>F3*5%</f>
        <v>200</v>
      </c>
      <c r="H2" s="17">
        <f>F2*5%</f>
        <v>100</v>
      </c>
      <c r="I2" s="18">
        <f>F2+G2+H2</f>
        <v>2300</v>
      </c>
      <c r="J2" s="19">
        <v>2500</v>
      </c>
    </row>
    <row r="3" spans="1:10" x14ac:dyDescent="0.3">
      <c r="A3" s="15" t="s">
        <v>66</v>
      </c>
      <c r="B3" s="15" t="s">
        <v>57</v>
      </c>
      <c r="C3" s="15" t="s">
        <v>58</v>
      </c>
      <c r="D3" s="15" t="s">
        <v>12</v>
      </c>
      <c r="E3" s="15" t="s">
        <v>59</v>
      </c>
      <c r="F3" s="16">
        <v>4000</v>
      </c>
      <c r="G3" s="17">
        <f>F3*5%</f>
        <v>200</v>
      </c>
      <c r="H3" s="17">
        <f>F3*5%</f>
        <v>200</v>
      </c>
      <c r="I3" s="18">
        <f>F3+G3+H3</f>
        <v>4400</v>
      </c>
      <c r="J3" s="19">
        <v>5000</v>
      </c>
    </row>
    <row r="4" spans="1:10" x14ac:dyDescent="0.3">
      <c r="A4" s="15" t="s">
        <v>67</v>
      </c>
      <c r="B4" s="15" t="s">
        <v>57</v>
      </c>
      <c r="C4" s="15" t="s">
        <v>58</v>
      </c>
      <c r="D4" s="15" t="s">
        <v>14</v>
      </c>
      <c r="E4" s="15" t="s">
        <v>60</v>
      </c>
      <c r="F4" s="16">
        <v>2000</v>
      </c>
      <c r="G4" s="17">
        <f>F4*5%</f>
        <v>100</v>
      </c>
      <c r="H4" s="17">
        <f>F4*5%</f>
        <v>100</v>
      </c>
      <c r="I4" s="18">
        <v>2500</v>
      </c>
      <c r="J4" s="19">
        <v>2500</v>
      </c>
    </row>
    <row r="5" spans="1:10" x14ac:dyDescent="0.3">
      <c r="A5" s="15" t="s">
        <v>64</v>
      </c>
      <c r="B5" s="15" t="s">
        <v>57</v>
      </c>
      <c r="C5" s="15" t="s">
        <v>63</v>
      </c>
      <c r="D5" s="15" t="s">
        <v>9</v>
      </c>
      <c r="E5" s="15" t="s">
        <v>32</v>
      </c>
      <c r="F5" s="16">
        <v>1500</v>
      </c>
      <c r="G5" s="17">
        <f>F5*5%</f>
        <v>75</v>
      </c>
      <c r="H5" s="17">
        <f>F5*5%</f>
        <v>75</v>
      </c>
      <c r="I5" s="18">
        <f>F5+G5+H5</f>
        <v>1650</v>
      </c>
      <c r="J5" s="19">
        <v>1600</v>
      </c>
    </row>
  </sheetData>
  <sortState xmlns:xlrd2="http://schemas.microsoft.com/office/spreadsheetml/2017/richdata2" ref="A2:H5">
    <sortCondition ref="C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J15"/>
  <sheetViews>
    <sheetView workbookViewId="0"/>
  </sheetViews>
  <sheetFormatPr baseColWidth="10" defaultRowHeight="14.4" x14ac:dyDescent="0.3"/>
  <cols>
    <col min="3" max="3" width="20" bestFit="1" customWidth="1"/>
    <col min="5" max="5" width="12.5546875" bestFit="1" customWidth="1"/>
    <col min="7" max="7" width="15.44140625" customWidth="1"/>
    <col min="8" max="8" width="14.33203125" customWidth="1"/>
    <col min="9" max="9" width="17.33203125" bestFit="1" customWidth="1"/>
    <col min="10" max="10" width="16.6640625" bestFit="1" customWidth="1"/>
  </cols>
  <sheetData>
    <row r="1" spans="1:10" x14ac:dyDescent="0.3">
      <c r="A1" s="9" t="s">
        <v>0</v>
      </c>
      <c r="B1" s="10" t="s">
        <v>1</v>
      </c>
      <c r="C1" s="9" t="s">
        <v>2</v>
      </c>
      <c r="D1" s="9" t="s">
        <v>3</v>
      </c>
      <c r="E1" s="9" t="s">
        <v>4</v>
      </c>
      <c r="F1" s="9" t="s">
        <v>6</v>
      </c>
      <c r="G1" s="25" t="s">
        <v>233</v>
      </c>
      <c r="H1" s="9" t="s">
        <v>235</v>
      </c>
      <c r="I1" s="26" t="s">
        <v>255</v>
      </c>
      <c r="J1" s="25" t="s">
        <v>256</v>
      </c>
    </row>
    <row r="2" spans="1:10" x14ac:dyDescent="0.3">
      <c r="A2" s="15" t="s">
        <v>86</v>
      </c>
      <c r="B2" s="15" t="s">
        <v>68</v>
      </c>
      <c r="C2" s="15" t="s">
        <v>73</v>
      </c>
      <c r="D2" s="15" t="s">
        <v>9</v>
      </c>
      <c r="E2" s="15" t="s">
        <v>13</v>
      </c>
      <c r="F2" s="16">
        <v>2000</v>
      </c>
      <c r="G2" s="27">
        <f>F2*5%</f>
        <v>100</v>
      </c>
      <c r="H2" s="16">
        <f>F2*5%</f>
        <v>100</v>
      </c>
      <c r="I2" s="28">
        <f>F2+G2+H2</f>
        <v>2200</v>
      </c>
      <c r="J2" s="14">
        <v>2500</v>
      </c>
    </row>
    <row r="3" spans="1:10" x14ac:dyDescent="0.3">
      <c r="A3" s="20" t="s">
        <v>87</v>
      </c>
      <c r="B3" s="20" t="s">
        <v>68</v>
      </c>
      <c r="C3" s="20" t="s">
        <v>84</v>
      </c>
      <c r="D3" s="15" t="s">
        <v>9</v>
      </c>
      <c r="E3" s="20" t="s">
        <v>85</v>
      </c>
      <c r="F3" s="16">
        <v>2500</v>
      </c>
      <c r="G3" s="27">
        <f t="shared" ref="G3:G15" si="0">F3*5%</f>
        <v>125</v>
      </c>
      <c r="H3" s="16">
        <f t="shared" ref="H3:H15" si="1">F3*5%</f>
        <v>125</v>
      </c>
      <c r="I3" s="28">
        <f t="shared" ref="I3:I15" si="2">F3+G3+H3</f>
        <v>2750</v>
      </c>
      <c r="J3" s="14">
        <v>3000</v>
      </c>
    </row>
    <row r="4" spans="1:10" x14ac:dyDescent="0.3">
      <c r="A4" s="20" t="s">
        <v>88</v>
      </c>
      <c r="B4" s="20" t="s">
        <v>68</v>
      </c>
      <c r="C4" s="20" t="s">
        <v>70</v>
      </c>
      <c r="D4" s="15" t="s">
        <v>31</v>
      </c>
      <c r="E4" s="20" t="s">
        <v>30</v>
      </c>
      <c r="F4" s="16">
        <v>3200</v>
      </c>
      <c r="G4" s="27">
        <f t="shared" si="0"/>
        <v>160</v>
      </c>
      <c r="H4" s="16">
        <f t="shared" si="1"/>
        <v>160</v>
      </c>
      <c r="I4" s="28">
        <f t="shared" si="2"/>
        <v>3520</v>
      </c>
      <c r="J4" s="14">
        <v>3500</v>
      </c>
    </row>
    <row r="5" spans="1:10" x14ac:dyDescent="0.3">
      <c r="A5" s="22" t="s">
        <v>89</v>
      </c>
      <c r="B5" s="22" t="s">
        <v>68</v>
      </c>
      <c r="C5" s="22" t="s">
        <v>79</v>
      </c>
      <c r="D5" s="29" t="s">
        <v>9</v>
      </c>
      <c r="E5" s="22" t="s">
        <v>38</v>
      </c>
      <c r="F5" s="23">
        <v>2000</v>
      </c>
      <c r="G5" s="27">
        <f t="shared" si="0"/>
        <v>100</v>
      </c>
      <c r="H5" s="16">
        <f t="shared" si="1"/>
        <v>100</v>
      </c>
      <c r="I5" s="28">
        <f t="shared" si="2"/>
        <v>2200</v>
      </c>
      <c r="J5" s="14">
        <v>2500</v>
      </c>
    </row>
    <row r="6" spans="1:10" x14ac:dyDescent="0.3">
      <c r="A6" s="20" t="s">
        <v>90</v>
      </c>
      <c r="B6" s="20" t="s">
        <v>68</v>
      </c>
      <c r="C6" s="20" t="s">
        <v>76</v>
      </c>
      <c r="D6" s="20" t="s">
        <v>31</v>
      </c>
      <c r="E6" s="20" t="s">
        <v>75</v>
      </c>
      <c r="F6" s="16">
        <v>1500</v>
      </c>
      <c r="G6" s="27">
        <f t="shared" si="0"/>
        <v>75</v>
      </c>
      <c r="H6" s="16">
        <f t="shared" si="1"/>
        <v>75</v>
      </c>
      <c r="I6" s="28">
        <f t="shared" si="2"/>
        <v>1650</v>
      </c>
      <c r="J6" s="14">
        <v>1800</v>
      </c>
    </row>
    <row r="7" spans="1:10" x14ac:dyDescent="0.3">
      <c r="A7" s="20" t="s">
        <v>91</v>
      </c>
      <c r="B7" s="20" t="s">
        <v>68</v>
      </c>
      <c r="C7" s="20" t="s">
        <v>69</v>
      </c>
      <c r="D7" s="20" t="s">
        <v>31</v>
      </c>
      <c r="E7" s="20" t="s">
        <v>30</v>
      </c>
      <c r="F7" s="16">
        <v>3200</v>
      </c>
      <c r="G7" s="27">
        <f t="shared" si="0"/>
        <v>160</v>
      </c>
      <c r="H7" s="16">
        <f t="shared" si="1"/>
        <v>160</v>
      </c>
      <c r="I7" s="28">
        <f t="shared" si="2"/>
        <v>3520</v>
      </c>
      <c r="J7" s="14">
        <v>4000</v>
      </c>
    </row>
    <row r="8" spans="1:10" x14ac:dyDescent="0.3">
      <c r="A8" s="20" t="s">
        <v>92</v>
      </c>
      <c r="B8" s="20" t="s">
        <v>68</v>
      </c>
      <c r="C8" s="20" t="s">
        <v>72</v>
      </c>
      <c r="D8" s="20" t="s">
        <v>9</v>
      </c>
      <c r="E8" s="20" t="s">
        <v>13</v>
      </c>
      <c r="F8" s="16">
        <v>2000</v>
      </c>
      <c r="G8" s="27">
        <f t="shared" si="0"/>
        <v>100</v>
      </c>
      <c r="H8" s="16">
        <f t="shared" si="1"/>
        <v>100</v>
      </c>
      <c r="I8" s="28">
        <f t="shared" si="2"/>
        <v>2200</v>
      </c>
      <c r="J8" s="14">
        <v>2500</v>
      </c>
    </row>
    <row r="9" spans="1:10" x14ac:dyDescent="0.3">
      <c r="A9" s="20" t="s">
        <v>93</v>
      </c>
      <c r="B9" s="20" t="s">
        <v>68</v>
      </c>
      <c r="C9" s="20" t="s">
        <v>83</v>
      </c>
      <c r="D9" s="20" t="s">
        <v>9</v>
      </c>
      <c r="E9" s="20" t="s">
        <v>32</v>
      </c>
      <c r="F9" s="16">
        <v>2500</v>
      </c>
      <c r="G9" s="27">
        <f t="shared" si="0"/>
        <v>125</v>
      </c>
      <c r="H9" s="16">
        <f t="shared" si="1"/>
        <v>125</v>
      </c>
      <c r="I9" s="28">
        <f t="shared" si="2"/>
        <v>2750</v>
      </c>
      <c r="J9" s="14">
        <v>3000</v>
      </c>
    </row>
    <row r="10" spans="1:10" x14ac:dyDescent="0.3">
      <c r="A10" s="20" t="s">
        <v>259</v>
      </c>
      <c r="B10" s="20" t="s">
        <v>68</v>
      </c>
      <c r="C10" s="20" t="s">
        <v>71</v>
      </c>
      <c r="D10" s="20" t="s">
        <v>31</v>
      </c>
      <c r="E10" s="20" t="s">
        <v>29</v>
      </c>
      <c r="F10" s="16">
        <v>2500</v>
      </c>
      <c r="G10" s="27">
        <f t="shared" si="0"/>
        <v>125</v>
      </c>
      <c r="H10" s="16">
        <f t="shared" si="1"/>
        <v>125</v>
      </c>
      <c r="I10" s="28">
        <f t="shared" si="2"/>
        <v>2750</v>
      </c>
      <c r="J10" s="14">
        <v>3000</v>
      </c>
    </row>
    <row r="11" spans="1:10" x14ac:dyDescent="0.3">
      <c r="A11" s="22" t="s">
        <v>260</v>
      </c>
      <c r="B11" s="22" t="s">
        <v>68</v>
      </c>
      <c r="C11" s="22" t="s">
        <v>78</v>
      </c>
      <c r="D11" s="22" t="s">
        <v>9</v>
      </c>
      <c r="E11" s="22" t="s">
        <v>38</v>
      </c>
      <c r="F11" s="23">
        <v>2000</v>
      </c>
      <c r="G11" s="27">
        <f t="shared" si="0"/>
        <v>100</v>
      </c>
      <c r="H11" s="16">
        <f t="shared" si="1"/>
        <v>100</v>
      </c>
      <c r="I11" s="28">
        <f t="shared" si="2"/>
        <v>2200</v>
      </c>
      <c r="J11" s="14">
        <v>2300</v>
      </c>
    </row>
    <row r="12" spans="1:10" x14ac:dyDescent="0.3">
      <c r="A12" s="20" t="s">
        <v>94</v>
      </c>
      <c r="B12" s="20" t="s">
        <v>68</v>
      </c>
      <c r="C12" s="20" t="s">
        <v>82</v>
      </c>
      <c r="D12" s="20" t="s">
        <v>9</v>
      </c>
      <c r="E12" s="20" t="s">
        <v>81</v>
      </c>
      <c r="F12" s="16">
        <v>3000</v>
      </c>
      <c r="G12" s="27">
        <f t="shared" si="0"/>
        <v>150</v>
      </c>
      <c r="H12" s="16">
        <f t="shared" si="1"/>
        <v>150</v>
      </c>
      <c r="I12" s="28">
        <f t="shared" si="2"/>
        <v>3300</v>
      </c>
      <c r="J12" s="14">
        <v>3500</v>
      </c>
    </row>
    <row r="13" spans="1:10" x14ac:dyDescent="0.3">
      <c r="A13" s="20" t="s">
        <v>261</v>
      </c>
      <c r="B13" s="20" t="s">
        <v>68</v>
      </c>
      <c r="C13" s="20" t="s">
        <v>74</v>
      </c>
      <c r="D13" s="20" t="s">
        <v>31</v>
      </c>
      <c r="E13" s="20" t="s">
        <v>75</v>
      </c>
      <c r="F13" s="16">
        <v>1500</v>
      </c>
      <c r="G13" s="27">
        <f t="shared" si="0"/>
        <v>75</v>
      </c>
      <c r="H13" s="16">
        <f t="shared" si="1"/>
        <v>75</v>
      </c>
      <c r="I13" s="28">
        <f t="shared" si="2"/>
        <v>1650</v>
      </c>
      <c r="J13" s="14">
        <v>1800</v>
      </c>
    </row>
    <row r="14" spans="1:10" x14ac:dyDescent="0.3">
      <c r="A14" s="20" t="s">
        <v>95</v>
      </c>
      <c r="B14" s="20" t="s">
        <v>68</v>
      </c>
      <c r="C14" s="20" t="s">
        <v>77</v>
      </c>
      <c r="D14" s="20" t="s">
        <v>31</v>
      </c>
      <c r="E14" s="20" t="s">
        <v>30</v>
      </c>
      <c r="F14" s="16">
        <v>2500</v>
      </c>
      <c r="G14" s="27">
        <f t="shared" si="0"/>
        <v>125</v>
      </c>
      <c r="H14" s="16">
        <f t="shared" si="1"/>
        <v>125</v>
      </c>
      <c r="I14" s="28">
        <f t="shared" si="2"/>
        <v>2750</v>
      </c>
      <c r="J14" s="14">
        <v>3000</v>
      </c>
    </row>
    <row r="15" spans="1:10" x14ac:dyDescent="0.3">
      <c r="A15" s="20" t="s">
        <v>262</v>
      </c>
      <c r="B15" s="20" t="s">
        <v>68</v>
      </c>
      <c r="C15" s="20" t="s">
        <v>80</v>
      </c>
      <c r="D15" s="20" t="s">
        <v>9</v>
      </c>
      <c r="E15" s="20" t="s">
        <v>81</v>
      </c>
      <c r="F15" s="16">
        <v>3000</v>
      </c>
      <c r="G15" s="27">
        <f t="shared" si="0"/>
        <v>150</v>
      </c>
      <c r="H15" s="16">
        <f t="shared" si="1"/>
        <v>150</v>
      </c>
      <c r="I15" s="28">
        <f t="shared" si="2"/>
        <v>3300</v>
      </c>
      <c r="J15" s="14">
        <v>3500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/>
  </sheetPr>
  <dimension ref="A1:J44"/>
  <sheetViews>
    <sheetView workbookViewId="0"/>
  </sheetViews>
  <sheetFormatPr baseColWidth="10" defaultRowHeight="14.4" x14ac:dyDescent="0.3"/>
  <cols>
    <col min="3" max="3" width="33.6640625" customWidth="1"/>
    <col min="4" max="4" width="20.33203125" customWidth="1"/>
    <col min="6" max="6" width="16.6640625" customWidth="1"/>
    <col min="10" max="10" width="14.33203125" customWidth="1"/>
  </cols>
  <sheetData>
    <row r="1" spans="1:10" ht="28.8" x14ac:dyDescent="0.3">
      <c r="A1" s="34" t="s">
        <v>0</v>
      </c>
      <c r="B1" s="35" t="s">
        <v>1</v>
      </c>
      <c r="C1" s="34" t="s">
        <v>2</v>
      </c>
      <c r="D1" s="34" t="s">
        <v>3</v>
      </c>
      <c r="E1" s="34" t="s">
        <v>4</v>
      </c>
      <c r="F1" s="34" t="s">
        <v>6</v>
      </c>
      <c r="G1" s="34" t="s">
        <v>264</v>
      </c>
      <c r="H1" s="34" t="s">
        <v>233</v>
      </c>
      <c r="I1" s="36" t="s">
        <v>5</v>
      </c>
      <c r="J1" s="37" t="s">
        <v>263</v>
      </c>
    </row>
    <row r="2" spans="1:10" x14ac:dyDescent="0.3">
      <c r="A2" s="38" t="s">
        <v>141</v>
      </c>
      <c r="B2" s="38" t="s">
        <v>96</v>
      </c>
      <c r="C2" s="38" t="s">
        <v>99</v>
      </c>
      <c r="D2" s="38" t="s">
        <v>9</v>
      </c>
      <c r="E2" s="38" t="s">
        <v>100</v>
      </c>
      <c r="F2" s="39">
        <v>8000</v>
      </c>
      <c r="G2" s="40">
        <f>F2*5%</f>
        <v>400</v>
      </c>
      <c r="H2" s="40">
        <f>F2*5%</f>
        <v>400</v>
      </c>
      <c r="I2" s="41">
        <f>F2+G2+H2</f>
        <v>8800</v>
      </c>
      <c r="J2" s="42">
        <v>9000</v>
      </c>
    </row>
    <row r="3" spans="1:10" x14ac:dyDescent="0.3">
      <c r="A3" s="38" t="s">
        <v>142</v>
      </c>
      <c r="B3" s="38" t="s">
        <v>96</v>
      </c>
      <c r="C3" s="38" t="s">
        <v>97</v>
      </c>
      <c r="D3" s="38" t="s">
        <v>9</v>
      </c>
      <c r="E3" s="38" t="s">
        <v>98</v>
      </c>
      <c r="F3" s="39">
        <v>8500</v>
      </c>
      <c r="G3" s="40">
        <f t="shared" ref="G3:G44" si="0">F3*5%</f>
        <v>425</v>
      </c>
      <c r="H3" s="40">
        <f t="shared" ref="H3:H44" si="1">F3*5%</f>
        <v>425</v>
      </c>
      <c r="I3" s="41">
        <f t="shared" ref="I3:I44" si="2">F3+G3+H3</f>
        <v>9350</v>
      </c>
      <c r="J3" s="41">
        <v>9500</v>
      </c>
    </row>
    <row r="4" spans="1:10" x14ac:dyDescent="0.3">
      <c r="A4" s="38" t="s">
        <v>143</v>
      </c>
      <c r="B4" s="38" t="s">
        <v>96</v>
      </c>
      <c r="C4" s="38" t="s">
        <v>118</v>
      </c>
      <c r="D4" s="38" t="s">
        <v>12</v>
      </c>
      <c r="E4" s="38" t="s">
        <v>119</v>
      </c>
      <c r="F4" s="39">
        <v>4500</v>
      </c>
      <c r="G4" s="40">
        <f t="shared" si="0"/>
        <v>225</v>
      </c>
      <c r="H4" s="40">
        <f t="shared" si="1"/>
        <v>225</v>
      </c>
      <c r="I4" s="41">
        <f t="shared" si="2"/>
        <v>4950</v>
      </c>
      <c r="J4" s="41">
        <v>5500</v>
      </c>
    </row>
    <row r="5" spans="1:10" x14ac:dyDescent="0.3">
      <c r="A5" s="38" t="s">
        <v>144</v>
      </c>
      <c r="B5" s="38" t="s">
        <v>96</v>
      </c>
      <c r="C5" s="38" t="s">
        <v>118</v>
      </c>
      <c r="D5" s="38" t="s">
        <v>14</v>
      </c>
      <c r="E5" s="38" t="s">
        <v>120</v>
      </c>
      <c r="F5" s="39">
        <v>2500</v>
      </c>
      <c r="G5" s="40">
        <f t="shared" si="0"/>
        <v>125</v>
      </c>
      <c r="H5" s="40">
        <f t="shared" si="1"/>
        <v>125</v>
      </c>
      <c r="I5" s="41">
        <f t="shared" si="2"/>
        <v>2750</v>
      </c>
      <c r="J5" s="41">
        <v>3000</v>
      </c>
    </row>
    <row r="6" spans="1:10" x14ac:dyDescent="0.3">
      <c r="A6" s="38" t="s">
        <v>145</v>
      </c>
      <c r="B6" s="38" t="s">
        <v>96</v>
      </c>
      <c r="C6" s="38" t="s">
        <v>125</v>
      </c>
      <c r="D6" s="38" t="s">
        <v>9</v>
      </c>
      <c r="E6" s="38" t="s">
        <v>81</v>
      </c>
      <c r="F6" s="39">
        <v>5000</v>
      </c>
      <c r="G6" s="40">
        <f t="shared" si="0"/>
        <v>250</v>
      </c>
      <c r="H6" s="40">
        <f t="shared" si="1"/>
        <v>250</v>
      </c>
      <c r="I6" s="41">
        <f t="shared" si="2"/>
        <v>5500</v>
      </c>
      <c r="J6" s="41">
        <v>6000</v>
      </c>
    </row>
    <row r="7" spans="1:10" x14ac:dyDescent="0.3">
      <c r="A7" s="38" t="s">
        <v>146</v>
      </c>
      <c r="B7" s="38" t="s">
        <v>96</v>
      </c>
      <c r="C7" s="38" t="s">
        <v>138</v>
      </c>
      <c r="D7" s="38" t="s">
        <v>9</v>
      </c>
      <c r="E7" s="38" t="s">
        <v>139</v>
      </c>
      <c r="F7" s="39">
        <v>9000</v>
      </c>
      <c r="G7" s="40">
        <f t="shared" si="0"/>
        <v>450</v>
      </c>
      <c r="H7" s="40">
        <f t="shared" si="1"/>
        <v>450</v>
      </c>
      <c r="I7" s="41">
        <f t="shared" si="2"/>
        <v>9900</v>
      </c>
      <c r="J7" s="41">
        <v>10000</v>
      </c>
    </row>
    <row r="8" spans="1:10" x14ac:dyDescent="0.3">
      <c r="A8" s="38" t="s">
        <v>147</v>
      </c>
      <c r="B8" s="38" t="s">
        <v>96</v>
      </c>
      <c r="C8" s="38" t="s">
        <v>138</v>
      </c>
      <c r="D8" s="38" t="s">
        <v>9</v>
      </c>
      <c r="E8" s="38" t="s">
        <v>140</v>
      </c>
      <c r="F8" s="39">
        <v>4500</v>
      </c>
      <c r="G8" s="40">
        <f t="shared" si="0"/>
        <v>225</v>
      </c>
      <c r="H8" s="40">
        <f t="shared" si="1"/>
        <v>225</v>
      </c>
      <c r="I8" s="41">
        <f t="shared" si="2"/>
        <v>4950</v>
      </c>
      <c r="J8" s="41">
        <v>5000</v>
      </c>
    </row>
    <row r="9" spans="1:10" x14ac:dyDescent="0.3">
      <c r="A9" s="38" t="s">
        <v>148</v>
      </c>
      <c r="B9" s="38" t="s">
        <v>96</v>
      </c>
      <c r="C9" s="38" t="s">
        <v>123</v>
      </c>
      <c r="D9" s="38" t="s">
        <v>9</v>
      </c>
      <c r="E9" s="38" t="s">
        <v>81</v>
      </c>
      <c r="F9" s="39">
        <v>2000</v>
      </c>
      <c r="G9" s="40">
        <f t="shared" si="0"/>
        <v>100</v>
      </c>
      <c r="H9" s="40">
        <f t="shared" si="1"/>
        <v>100</v>
      </c>
      <c r="I9" s="41">
        <f t="shared" si="2"/>
        <v>2200</v>
      </c>
      <c r="J9" s="41">
        <v>2500</v>
      </c>
    </row>
    <row r="10" spans="1:10" x14ac:dyDescent="0.3">
      <c r="A10" s="38" t="s">
        <v>149</v>
      </c>
      <c r="B10" s="38" t="s">
        <v>96</v>
      </c>
      <c r="C10" s="38" t="s">
        <v>102</v>
      </c>
      <c r="D10" s="38" t="s">
        <v>9</v>
      </c>
      <c r="E10" s="38" t="s">
        <v>32</v>
      </c>
      <c r="F10" s="39">
        <v>8500</v>
      </c>
      <c r="G10" s="40">
        <f t="shared" si="0"/>
        <v>425</v>
      </c>
      <c r="H10" s="40">
        <f t="shared" si="1"/>
        <v>425</v>
      </c>
      <c r="I10" s="41">
        <f t="shared" si="2"/>
        <v>9350</v>
      </c>
      <c r="J10" s="41">
        <v>9500</v>
      </c>
    </row>
    <row r="11" spans="1:10" x14ac:dyDescent="0.3">
      <c r="A11" s="38" t="s">
        <v>150</v>
      </c>
      <c r="B11" s="38" t="s">
        <v>96</v>
      </c>
      <c r="C11" s="38" t="s">
        <v>127</v>
      </c>
      <c r="D11" s="38" t="s">
        <v>9</v>
      </c>
      <c r="E11" s="38" t="s">
        <v>128</v>
      </c>
      <c r="F11" s="39">
        <v>2000</v>
      </c>
      <c r="G11" s="40">
        <f t="shared" si="0"/>
        <v>100</v>
      </c>
      <c r="H11" s="40">
        <f t="shared" si="1"/>
        <v>100</v>
      </c>
      <c r="I11" s="41">
        <f t="shared" si="2"/>
        <v>2200</v>
      </c>
      <c r="J11" s="41">
        <v>2500</v>
      </c>
    </row>
    <row r="12" spans="1:10" x14ac:dyDescent="0.3">
      <c r="A12" s="38" t="s">
        <v>151</v>
      </c>
      <c r="B12" s="38" t="s">
        <v>96</v>
      </c>
      <c r="C12" s="38" t="s">
        <v>135</v>
      </c>
      <c r="D12" s="38" t="s">
        <v>9</v>
      </c>
      <c r="E12" s="38" t="s">
        <v>136</v>
      </c>
      <c r="F12" s="39">
        <v>12000</v>
      </c>
      <c r="G12" s="40">
        <f t="shared" si="0"/>
        <v>600</v>
      </c>
      <c r="H12" s="40">
        <f t="shared" si="1"/>
        <v>600</v>
      </c>
      <c r="I12" s="41">
        <f t="shared" si="2"/>
        <v>13200</v>
      </c>
      <c r="J12" s="41">
        <v>13000</v>
      </c>
    </row>
    <row r="13" spans="1:10" x14ac:dyDescent="0.3">
      <c r="A13" s="38" t="s">
        <v>152</v>
      </c>
      <c r="B13" s="38" t="s">
        <v>96</v>
      </c>
      <c r="C13" s="38" t="s">
        <v>135</v>
      </c>
      <c r="D13" s="38" t="s">
        <v>9</v>
      </c>
      <c r="E13" s="38" t="s">
        <v>132</v>
      </c>
      <c r="F13" s="39">
        <v>6000</v>
      </c>
      <c r="G13" s="40">
        <f t="shared" si="0"/>
        <v>300</v>
      </c>
      <c r="H13" s="40">
        <f t="shared" si="1"/>
        <v>300</v>
      </c>
      <c r="I13" s="41">
        <f t="shared" si="2"/>
        <v>6600</v>
      </c>
      <c r="J13" s="41">
        <v>6600</v>
      </c>
    </row>
    <row r="14" spans="1:10" x14ac:dyDescent="0.3">
      <c r="A14" s="38" t="s">
        <v>153</v>
      </c>
      <c r="B14" s="38" t="s">
        <v>96</v>
      </c>
      <c r="C14" s="38" t="s">
        <v>137</v>
      </c>
      <c r="D14" s="38" t="s">
        <v>9</v>
      </c>
      <c r="E14" s="38" t="s">
        <v>132</v>
      </c>
      <c r="F14" s="39">
        <v>6000</v>
      </c>
      <c r="G14" s="40">
        <f t="shared" si="0"/>
        <v>300</v>
      </c>
      <c r="H14" s="40">
        <f t="shared" si="1"/>
        <v>300</v>
      </c>
      <c r="I14" s="41">
        <f t="shared" si="2"/>
        <v>6600</v>
      </c>
      <c r="J14" s="41">
        <v>6600</v>
      </c>
    </row>
    <row r="15" spans="1:10" x14ac:dyDescent="0.3">
      <c r="A15" s="38" t="s">
        <v>154</v>
      </c>
      <c r="B15" s="38" t="s">
        <v>96</v>
      </c>
      <c r="C15" s="38" t="s">
        <v>137</v>
      </c>
      <c r="D15" s="38" t="s">
        <v>9</v>
      </c>
      <c r="E15" s="38" t="s">
        <v>136</v>
      </c>
      <c r="F15" s="39">
        <v>12000</v>
      </c>
      <c r="G15" s="40">
        <f t="shared" si="0"/>
        <v>600</v>
      </c>
      <c r="H15" s="40">
        <f t="shared" si="1"/>
        <v>600</v>
      </c>
      <c r="I15" s="41">
        <f t="shared" si="2"/>
        <v>13200</v>
      </c>
      <c r="J15" s="41">
        <v>13000</v>
      </c>
    </row>
    <row r="16" spans="1:10" x14ac:dyDescent="0.3">
      <c r="A16" s="38" t="s">
        <v>155</v>
      </c>
      <c r="B16" s="38" t="s">
        <v>96</v>
      </c>
      <c r="C16" s="38" t="s">
        <v>134</v>
      </c>
      <c r="D16" s="38" t="s">
        <v>9</v>
      </c>
      <c r="E16" s="38" t="s">
        <v>114</v>
      </c>
      <c r="F16" s="39">
        <v>10000</v>
      </c>
      <c r="G16" s="40">
        <f t="shared" si="0"/>
        <v>500</v>
      </c>
      <c r="H16" s="40">
        <f t="shared" si="1"/>
        <v>500</v>
      </c>
      <c r="I16" s="41">
        <f t="shared" si="2"/>
        <v>11000</v>
      </c>
      <c r="J16" s="41">
        <v>11000</v>
      </c>
    </row>
    <row r="17" spans="1:10" x14ac:dyDescent="0.3">
      <c r="A17" s="38" t="s">
        <v>156</v>
      </c>
      <c r="B17" s="38" t="s">
        <v>96</v>
      </c>
      <c r="C17" s="38" t="s">
        <v>133</v>
      </c>
      <c r="D17" s="38" t="s">
        <v>9</v>
      </c>
      <c r="E17" s="38" t="s">
        <v>114</v>
      </c>
      <c r="F17" s="39">
        <v>12000</v>
      </c>
      <c r="G17" s="40">
        <f t="shared" si="0"/>
        <v>600</v>
      </c>
      <c r="H17" s="40">
        <f t="shared" si="1"/>
        <v>600</v>
      </c>
      <c r="I17" s="41">
        <f t="shared" si="2"/>
        <v>13200</v>
      </c>
      <c r="J17" s="41">
        <v>13500</v>
      </c>
    </row>
    <row r="18" spans="1:10" x14ac:dyDescent="0.3">
      <c r="A18" s="38" t="s">
        <v>157</v>
      </c>
      <c r="B18" s="38" t="s">
        <v>96</v>
      </c>
      <c r="C18" s="38" t="s">
        <v>133</v>
      </c>
      <c r="D18" s="38" t="s">
        <v>9</v>
      </c>
      <c r="E18" s="38" t="s">
        <v>132</v>
      </c>
      <c r="F18" s="39">
        <v>6000</v>
      </c>
      <c r="G18" s="40">
        <f t="shared" si="0"/>
        <v>300</v>
      </c>
      <c r="H18" s="40">
        <f t="shared" si="1"/>
        <v>300</v>
      </c>
      <c r="I18" s="41">
        <f t="shared" si="2"/>
        <v>6600</v>
      </c>
      <c r="J18" s="41">
        <v>7000</v>
      </c>
    </row>
    <row r="19" spans="1:10" x14ac:dyDescent="0.3">
      <c r="A19" s="38" t="s">
        <v>158</v>
      </c>
      <c r="B19" s="38" t="s">
        <v>96</v>
      </c>
      <c r="C19" s="38" t="s">
        <v>130</v>
      </c>
      <c r="D19" s="38" t="s">
        <v>9</v>
      </c>
      <c r="E19" s="38" t="s">
        <v>131</v>
      </c>
      <c r="F19" s="39">
        <v>12000</v>
      </c>
      <c r="G19" s="40">
        <f t="shared" si="0"/>
        <v>600</v>
      </c>
      <c r="H19" s="40">
        <f t="shared" si="1"/>
        <v>600</v>
      </c>
      <c r="I19" s="41">
        <f t="shared" si="2"/>
        <v>13200</v>
      </c>
      <c r="J19" s="41">
        <v>13000</v>
      </c>
    </row>
    <row r="20" spans="1:10" x14ac:dyDescent="0.3">
      <c r="A20" s="38" t="s">
        <v>159</v>
      </c>
      <c r="B20" s="38" t="s">
        <v>96</v>
      </c>
      <c r="C20" s="38" t="s">
        <v>130</v>
      </c>
      <c r="D20" s="38" t="s">
        <v>9</v>
      </c>
      <c r="E20" s="38" t="s">
        <v>132</v>
      </c>
      <c r="F20" s="39">
        <v>6000</v>
      </c>
      <c r="G20" s="40">
        <f t="shared" si="0"/>
        <v>300</v>
      </c>
      <c r="H20" s="40">
        <f t="shared" si="1"/>
        <v>300</v>
      </c>
      <c r="I20" s="41">
        <f t="shared" si="2"/>
        <v>6600</v>
      </c>
      <c r="J20" s="41">
        <v>6600</v>
      </c>
    </row>
    <row r="21" spans="1:10" ht="28.8" x14ac:dyDescent="0.3">
      <c r="A21" s="38" t="s">
        <v>160</v>
      </c>
      <c r="B21" s="38" t="s">
        <v>96</v>
      </c>
      <c r="C21" s="38" t="s">
        <v>115</v>
      </c>
      <c r="D21" s="38" t="s">
        <v>31</v>
      </c>
      <c r="E21" s="38" t="s">
        <v>116</v>
      </c>
      <c r="F21" s="39">
        <v>4000</v>
      </c>
      <c r="G21" s="40">
        <f t="shared" si="0"/>
        <v>200</v>
      </c>
      <c r="H21" s="40">
        <f t="shared" si="1"/>
        <v>200</v>
      </c>
      <c r="I21" s="41">
        <f t="shared" si="2"/>
        <v>4400</v>
      </c>
      <c r="J21" s="41">
        <v>4500</v>
      </c>
    </row>
    <row r="22" spans="1:10" x14ac:dyDescent="0.3">
      <c r="A22" s="38" t="s">
        <v>161</v>
      </c>
      <c r="B22" s="38" t="s">
        <v>96</v>
      </c>
      <c r="C22" s="38" t="s">
        <v>101</v>
      </c>
      <c r="D22" s="38" t="s">
        <v>9</v>
      </c>
      <c r="E22" s="38" t="s">
        <v>100</v>
      </c>
      <c r="F22" s="39">
        <v>4000</v>
      </c>
      <c r="G22" s="40">
        <f t="shared" si="0"/>
        <v>200</v>
      </c>
      <c r="H22" s="40">
        <f t="shared" si="1"/>
        <v>200</v>
      </c>
      <c r="I22" s="41">
        <f t="shared" si="2"/>
        <v>4400</v>
      </c>
      <c r="J22" s="41">
        <v>4500</v>
      </c>
    </row>
    <row r="23" spans="1:10" x14ac:dyDescent="0.3">
      <c r="A23" s="38" t="s">
        <v>162</v>
      </c>
      <c r="B23" s="38" t="s">
        <v>96</v>
      </c>
      <c r="C23" s="38" t="s">
        <v>101</v>
      </c>
      <c r="D23" s="38" t="s">
        <v>9</v>
      </c>
      <c r="E23" s="38" t="s">
        <v>38</v>
      </c>
      <c r="F23" s="39">
        <v>7500</v>
      </c>
      <c r="G23" s="40">
        <f t="shared" si="0"/>
        <v>375</v>
      </c>
      <c r="H23" s="40">
        <f t="shared" si="1"/>
        <v>375</v>
      </c>
      <c r="I23" s="41">
        <f t="shared" si="2"/>
        <v>8250</v>
      </c>
      <c r="J23" s="41">
        <v>8500</v>
      </c>
    </row>
    <row r="24" spans="1:10" x14ac:dyDescent="0.3">
      <c r="A24" s="38" t="s">
        <v>163</v>
      </c>
      <c r="B24" s="38" t="s">
        <v>96</v>
      </c>
      <c r="C24" s="38" t="s">
        <v>101</v>
      </c>
      <c r="D24" s="38" t="s">
        <v>9</v>
      </c>
      <c r="E24" s="38" t="s">
        <v>75</v>
      </c>
      <c r="F24" s="39">
        <v>14000</v>
      </c>
      <c r="G24" s="40">
        <f t="shared" si="0"/>
        <v>700</v>
      </c>
      <c r="H24" s="40">
        <f t="shared" si="1"/>
        <v>700</v>
      </c>
      <c r="I24" s="41">
        <f t="shared" si="2"/>
        <v>15400</v>
      </c>
      <c r="J24" s="41">
        <v>16500</v>
      </c>
    </row>
    <row r="25" spans="1:10" ht="57.6" x14ac:dyDescent="0.3">
      <c r="A25" s="38" t="s">
        <v>236</v>
      </c>
      <c r="B25" s="38" t="s">
        <v>96</v>
      </c>
      <c r="C25" s="38" t="s">
        <v>105</v>
      </c>
      <c r="D25" s="38" t="s">
        <v>9</v>
      </c>
      <c r="E25" s="38" t="s">
        <v>75</v>
      </c>
      <c r="F25" s="39">
        <v>17000</v>
      </c>
      <c r="G25" s="40">
        <f t="shared" si="0"/>
        <v>850</v>
      </c>
      <c r="H25" s="40">
        <f t="shared" si="1"/>
        <v>850</v>
      </c>
      <c r="I25" s="41">
        <f t="shared" si="2"/>
        <v>18700</v>
      </c>
      <c r="J25" s="41">
        <v>18700</v>
      </c>
    </row>
    <row r="26" spans="1:10" ht="57.6" x14ac:dyDescent="0.3">
      <c r="A26" s="38" t="s">
        <v>237</v>
      </c>
      <c r="B26" s="38" t="s">
        <v>96</v>
      </c>
      <c r="C26" s="38" t="s">
        <v>105</v>
      </c>
      <c r="D26" s="38" t="s">
        <v>9</v>
      </c>
      <c r="E26" s="38" t="s">
        <v>106</v>
      </c>
      <c r="F26" s="39">
        <v>32000</v>
      </c>
      <c r="G26" s="40">
        <f t="shared" si="0"/>
        <v>1600</v>
      </c>
      <c r="H26" s="40">
        <f t="shared" si="1"/>
        <v>1600</v>
      </c>
      <c r="I26" s="41">
        <f t="shared" si="2"/>
        <v>35200</v>
      </c>
      <c r="J26" s="41">
        <v>35200</v>
      </c>
    </row>
    <row r="27" spans="1:10" x14ac:dyDescent="0.3">
      <c r="A27" s="38" t="s">
        <v>238</v>
      </c>
      <c r="B27" s="38" t="s">
        <v>96</v>
      </c>
      <c r="C27" s="38" t="s">
        <v>117</v>
      </c>
      <c r="D27" s="38" t="s">
        <v>12</v>
      </c>
      <c r="E27" s="38" t="s">
        <v>59</v>
      </c>
      <c r="F27" s="39">
        <v>6000</v>
      </c>
      <c r="G27" s="40">
        <f t="shared" si="0"/>
        <v>300</v>
      </c>
      <c r="H27" s="40">
        <f t="shared" si="1"/>
        <v>300</v>
      </c>
      <c r="I27" s="41">
        <f t="shared" si="2"/>
        <v>6600</v>
      </c>
      <c r="J27" s="41">
        <v>6600</v>
      </c>
    </row>
    <row r="28" spans="1:10" ht="28.8" x14ac:dyDescent="0.3">
      <c r="A28" s="38" t="s">
        <v>239</v>
      </c>
      <c r="B28" s="38" t="s">
        <v>96</v>
      </c>
      <c r="C28" s="38" t="s">
        <v>117</v>
      </c>
      <c r="D28" s="38" t="s">
        <v>14</v>
      </c>
      <c r="E28" s="38" t="s">
        <v>60</v>
      </c>
      <c r="F28" s="39">
        <v>3000</v>
      </c>
      <c r="G28" s="40">
        <f t="shared" si="0"/>
        <v>150</v>
      </c>
      <c r="H28" s="40">
        <f t="shared" si="1"/>
        <v>150</v>
      </c>
      <c r="I28" s="41">
        <f t="shared" si="2"/>
        <v>3300</v>
      </c>
      <c r="J28" s="41">
        <v>3300</v>
      </c>
    </row>
    <row r="29" spans="1:10" ht="28.8" x14ac:dyDescent="0.3">
      <c r="A29" s="38" t="s">
        <v>240</v>
      </c>
      <c r="B29" s="38" t="s">
        <v>96</v>
      </c>
      <c r="C29" s="38" t="s">
        <v>103</v>
      </c>
      <c r="D29" s="38" t="s">
        <v>9</v>
      </c>
      <c r="E29" s="38" t="s">
        <v>104</v>
      </c>
      <c r="F29" s="39">
        <v>25000</v>
      </c>
      <c r="G29" s="40">
        <f t="shared" si="0"/>
        <v>1250</v>
      </c>
      <c r="H29" s="40">
        <f t="shared" si="1"/>
        <v>1250</v>
      </c>
      <c r="I29" s="41">
        <f t="shared" si="2"/>
        <v>27500</v>
      </c>
      <c r="J29" s="41">
        <v>27500</v>
      </c>
    </row>
    <row r="30" spans="1:10" x14ac:dyDescent="0.3">
      <c r="A30" s="38" t="s">
        <v>241</v>
      </c>
      <c r="B30" s="38" t="s">
        <v>96</v>
      </c>
      <c r="C30" s="38" t="s">
        <v>122</v>
      </c>
      <c r="D30" s="38" t="s">
        <v>9</v>
      </c>
      <c r="E30" s="38" t="s">
        <v>119</v>
      </c>
      <c r="F30" s="39">
        <v>6000</v>
      </c>
      <c r="G30" s="40">
        <f t="shared" si="0"/>
        <v>300</v>
      </c>
      <c r="H30" s="40">
        <f t="shared" si="1"/>
        <v>300</v>
      </c>
      <c r="I30" s="41">
        <f t="shared" si="2"/>
        <v>6600</v>
      </c>
      <c r="J30" s="41">
        <v>6000</v>
      </c>
    </row>
    <row r="31" spans="1:10" x14ac:dyDescent="0.3">
      <c r="A31" s="38" t="s">
        <v>242</v>
      </c>
      <c r="B31" s="38" t="s">
        <v>96</v>
      </c>
      <c r="C31" s="38" t="s">
        <v>122</v>
      </c>
      <c r="D31" s="38" t="s">
        <v>9</v>
      </c>
      <c r="E31" s="38" t="s">
        <v>120</v>
      </c>
      <c r="F31" s="39">
        <v>3000</v>
      </c>
      <c r="G31" s="40">
        <f t="shared" si="0"/>
        <v>150</v>
      </c>
      <c r="H31" s="40">
        <f t="shared" si="1"/>
        <v>150</v>
      </c>
      <c r="I31" s="41">
        <f t="shared" si="2"/>
        <v>3300</v>
      </c>
      <c r="J31" s="41">
        <v>3000</v>
      </c>
    </row>
    <row r="32" spans="1:10" x14ac:dyDescent="0.3">
      <c r="A32" s="38" t="s">
        <v>243</v>
      </c>
      <c r="B32" s="38" t="s">
        <v>96</v>
      </c>
      <c r="C32" s="38" t="s">
        <v>121</v>
      </c>
      <c r="D32" s="38" t="s">
        <v>12</v>
      </c>
      <c r="E32" s="38" t="s">
        <v>119</v>
      </c>
      <c r="F32" s="39">
        <v>6000</v>
      </c>
      <c r="G32" s="40">
        <f t="shared" si="0"/>
        <v>300</v>
      </c>
      <c r="H32" s="40">
        <f t="shared" si="1"/>
        <v>300</v>
      </c>
      <c r="I32" s="41">
        <f t="shared" si="2"/>
        <v>6600</v>
      </c>
      <c r="J32" s="41">
        <v>7000</v>
      </c>
    </row>
    <row r="33" spans="1:10" x14ac:dyDescent="0.3">
      <c r="A33" s="38" t="s">
        <v>244</v>
      </c>
      <c r="B33" s="38" t="s">
        <v>96</v>
      </c>
      <c r="C33" s="38" t="s">
        <v>121</v>
      </c>
      <c r="D33" s="38" t="s">
        <v>14</v>
      </c>
      <c r="E33" s="38" t="s">
        <v>120</v>
      </c>
      <c r="F33" s="39">
        <v>3000</v>
      </c>
      <c r="G33" s="40">
        <f t="shared" si="0"/>
        <v>150</v>
      </c>
      <c r="H33" s="40">
        <f t="shared" si="1"/>
        <v>150</v>
      </c>
      <c r="I33" s="41">
        <f t="shared" si="2"/>
        <v>3300</v>
      </c>
      <c r="J33" s="41">
        <v>3500</v>
      </c>
    </row>
    <row r="34" spans="1:10" x14ac:dyDescent="0.3">
      <c r="A34" s="38" t="s">
        <v>245</v>
      </c>
      <c r="B34" s="38" t="s">
        <v>96</v>
      </c>
      <c r="C34" s="38" t="s">
        <v>112</v>
      </c>
      <c r="D34" s="38" t="s">
        <v>9</v>
      </c>
      <c r="E34" s="38" t="s">
        <v>113</v>
      </c>
      <c r="F34" s="39">
        <v>18000</v>
      </c>
      <c r="G34" s="40">
        <f t="shared" si="0"/>
        <v>900</v>
      </c>
      <c r="H34" s="40">
        <f t="shared" si="1"/>
        <v>900</v>
      </c>
      <c r="I34" s="41">
        <f t="shared" si="2"/>
        <v>19800</v>
      </c>
      <c r="J34" s="41">
        <v>19800</v>
      </c>
    </row>
    <row r="35" spans="1:10" x14ac:dyDescent="0.3">
      <c r="A35" s="38" t="s">
        <v>246</v>
      </c>
      <c r="B35" s="38" t="s">
        <v>96</v>
      </c>
      <c r="C35" s="38" t="s">
        <v>112</v>
      </c>
      <c r="D35" s="38" t="s">
        <v>9</v>
      </c>
      <c r="E35" s="38" t="s">
        <v>114</v>
      </c>
      <c r="F35" s="39">
        <v>9000</v>
      </c>
      <c r="G35" s="40">
        <f t="shared" si="0"/>
        <v>450</v>
      </c>
      <c r="H35" s="40">
        <f t="shared" si="1"/>
        <v>450</v>
      </c>
      <c r="I35" s="41">
        <f t="shared" si="2"/>
        <v>9900</v>
      </c>
      <c r="J35" s="41">
        <v>10000</v>
      </c>
    </row>
    <row r="36" spans="1:10" x14ac:dyDescent="0.3">
      <c r="A36" s="38" t="s">
        <v>247</v>
      </c>
      <c r="B36" s="38" t="s">
        <v>96</v>
      </c>
      <c r="C36" s="38" t="s">
        <v>111</v>
      </c>
      <c r="D36" s="38" t="s">
        <v>9</v>
      </c>
      <c r="E36" s="38" t="s">
        <v>21</v>
      </c>
      <c r="F36" s="39">
        <v>5000</v>
      </c>
      <c r="G36" s="40">
        <f t="shared" si="0"/>
        <v>250</v>
      </c>
      <c r="H36" s="40">
        <f t="shared" si="1"/>
        <v>250</v>
      </c>
      <c r="I36" s="41">
        <f t="shared" si="2"/>
        <v>5500</v>
      </c>
      <c r="J36" s="41">
        <v>5500</v>
      </c>
    </row>
    <row r="37" spans="1:10" x14ac:dyDescent="0.3">
      <c r="A37" s="38" t="s">
        <v>248</v>
      </c>
      <c r="B37" s="38" t="s">
        <v>96</v>
      </c>
      <c r="C37" s="38" t="s">
        <v>108</v>
      </c>
      <c r="D37" s="38" t="s">
        <v>9</v>
      </c>
      <c r="E37" s="38" t="s">
        <v>15</v>
      </c>
      <c r="F37" s="39">
        <v>10000</v>
      </c>
      <c r="G37" s="40">
        <f t="shared" si="0"/>
        <v>500</v>
      </c>
      <c r="H37" s="40">
        <f t="shared" si="1"/>
        <v>500</v>
      </c>
      <c r="I37" s="41">
        <f t="shared" si="2"/>
        <v>11000</v>
      </c>
      <c r="J37" s="41">
        <v>10000</v>
      </c>
    </row>
    <row r="38" spans="1:10" x14ac:dyDescent="0.3">
      <c r="A38" s="38" t="s">
        <v>249</v>
      </c>
      <c r="B38" s="38" t="s">
        <v>96</v>
      </c>
      <c r="C38" s="38" t="s">
        <v>108</v>
      </c>
      <c r="D38" s="38" t="s">
        <v>9</v>
      </c>
      <c r="E38" s="38" t="s">
        <v>110</v>
      </c>
      <c r="F38" s="39">
        <v>5000</v>
      </c>
      <c r="G38" s="40">
        <f t="shared" si="0"/>
        <v>250</v>
      </c>
      <c r="H38" s="40">
        <f t="shared" si="1"/>
        <v>250</v>
      </c>
      <c r="I38" s="41">
        <f t="shared" si="2"/>
        <v>5500</v>
      </c>
      <c r="J38" s="41">
        <v>5500</v>
      </c>
    </row>
    <row r="39" spans="1:10" x14ac:dyDescent="0.3">
      <c r="A39" s="38" t="s">
        <v>250</v>
      </c>
      <c r="B39" s="38" t="s">
        <v>96</v>
      </c>
      <c r="C39" s="38" t="s">
        <v>109</v>
      </c>
      <c r="D39" s="38" t="s">
        <v>9</v>
      </c>
      <c r="E39" s="38" t="s">
        <v>15</v>
      </c>
      <c r="F39" s="39">
        <v>10000</v>
      </c>
      <c r="G39" s="40">
        <f t="shared" si="0"/>
        <v>500</v>
      </c>
      <c r="H39" s="40">
        <f t="shared" si="1"/>
        <v>500</v>
      </c>
      <c r="I39" s="41">
        <f t="shared" si="2"/>
        <v>11000</v>
      </c>
      <c r="J39" s="41">
        <v>10000</v>
      </c>
    </row>
    <row r="40" spans="1:10" x14ac:dyDescent="0.3">
      <c r="A40" s="38" t="s">
        <v>251</v>
      </c>
      <c r="B40" s="38" t="s">
        <v>96</v>
      </c>
      <c r="C40" s="38" t="s">
        <v>107</v>
      </c>
      <c r="D40" s="38" t="s">
        <v>9</v>
      </c>
      <c r="E40" s="38" t="s">
        <v>15</v>
      </c>
      <c r="F40" s="39">
        <v>8000</v>
      </c>
      <c r="G40" s="40">
        <f t="shared" si="0"/>
        <v>400</v>
      </c>
      <c r="H40" s="40">
        <f t="shared" si="1"/>
        <v>400</v>
      </c>
      <c r="I40" s="41">
        <f t="shared" si="2"/>
        <v>8800</v>
      </c>
      <c r="J40" s="41">
        <v>8800</v>
      </c>
    </row>
    <row r="41" spans="1:10" x14ac:dyDescent="0.3">
      <c r="A41" s="38" t="s">
        <v>252</v>
      </c>
      <c r="B41" s="38" t="s">
        <v>96</v>
      </c>
      <c r="C41" s="38" t="s">
        <v>107</v>
      </c>
      <c r="D41" s="38" t="s">
        <v>9</v>
      </c>
      <c r="E41" s="38" t="s">
        <v>21</v>
      </c>
      <c r="F41" s="39">
        <v>4000</v>
      </c>
      <c r="G41" s="40">
        <f t="shared" si="0"/>
        <v>200</v>
      </c>
      <c r="H41" s="40">
        <f t="shared" si="1"/>
        <v>200</v>
      </c>
      <c r="I41" s="41">
        <f t="shared" si="2"/>
        <v>4400</v>
      </c>
      <c r="J41" s="41">
        <v>4500</v>
      </c>
    </row>
    <row r="42" spans="1:10" x14ac:dyDescent="0.3">
      <c r="A42" s="38" t="s">
        <v>253</v>
      </c>
      <c r="B42" s="38" t="s">
        <v>96</v>
      </c>
      <c r="C42" s="38" t="s">
        <v>126</v>
      </c>
      <c r="D42" s="38" t="s">
        <v>9</v>
      </c>
      <c r="E42" s="38" t="s">
        <v>21</v>
      </c>
      <c r="F42" s="39">
        <v>4000</v>
      </c>
      <c r="G42" s="40">
        <f t="shared" si="0"/>
        <v>200</v>
      </c>
      <c r="H42" s="40">
        <f t="shared" si="1"/>
        <v>200</v>
      </c>
      <c r="I42" s="41">
        <f t="shared" si="2"/>
        <v>4400</v>
      </c>
      <c r="J42" s="41">
        <v>5000</v>
      </c>
    </row>
    <row r="43" spans="1:10" x14ac:dyDescent="0.3">
      <c r="A43" s="38" t="s">
        <v>254</v>
      </c>
      <c r="B43" s="38" t="s">
        <v>96</v>
      </c>
      <c r="C43" s="38" t="s">
        <v>129</v>
      </c>
      <c r="D43" s="38" t="s">
        <v>9</v>
      </c>
      <c r="E43" s="38" t="s">
        <v>81</v>
      </c>
      <c r="F43" s="39">
        <v>5000</v>
      </c>
      <c r="G43" s="40">
        <f t="shared" si="0"/>
        <v>250</v>
      </c>
      <c r="H43" s="40">
        <f t="shared" si="1"/>
        <v>250</v>
      </c>
      <c r="I43" s="41">
        <f t="shared" si="2"/>
        <v>5500</v>
      </c>
      <c r="J43" s="41">
        <v>5500</v>
      </c>
    </row>
    <row r="44" spans="1:10" x14ac:dyDescent="0.3">
      <c r="A44" s="38" t="s">
        <v>286</v>
      </c>
      <c r="B44" s="38" t="s">
        <v>96</v>
      </c>
      <c r="C44" s="38" t="s">
        <v>287</v>
      </c>
      <c r="D44" s="38" t="s">
        <v>9</v>
      </c>
      <c r="E44" s="38" t="s">
        <v>273</v>
      </c>
      <c r="F44" s="38">
        <v>40000</v>
      </c>
      <c r="G44" s="38">
        <f t="shared" si="0"/>
        <v>2000</v>
      </c>
      <c r="H44" s="38">
        <f t="shared" si="1"/>
        <v>2000</v>
      </c>
      <c r="I44" s="43">
        <f t="shared" si="2"/>
        <v>44000</v>
      </c>
      <c r="J44" s="41">
        <v>40000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J5"/>
  <sheetViews>
    <sheetView workbookViewId="0"/>
  </sheetViews>
  <sheetFormatPr baseColWidth="10" defaultRowHeight="14.4" x14ac:dyDescent="0.3"/>
  <cols>
    <col min="3" max="4" width="16.33203125" bestFit="1" customWidth="1"/>
    <col min="5" max="5" width="12.5546875" bestFit="1" customWidth="1"/>
    <col min="7" max="8" width="14.44140625" customWidth="1"/>
    <col min="10" max="10" width="14.6640625" bestFit="1" customWidth="1"/>
  </cols>
  <sheetData>
    <row r="1" spans="1:10" x14ac:dyDescent="0.3">
      <c r="A1" s="25" t="s">
        <v>0</v>
      </c>
      <c r="B1" s="30" t="s">
        <v>1</v>
      </c>
      <c r="C1" s="25" t="s">
        <v>2</v>
      </c>
      <c r="D1" s="25" t="s">
        <v>3</v>
      </c>
      <c r="E1" s="25" t="s">
        <v>4</v>
      </c>
      <c r="F1" s="25" t="s">
        <v>6</v>
      </c>
      <c r="G1" s="25" t="s">
        <v>264</v>
      </c>
      <c r="H1" s="25" t="s">
        <v>233</v>
      </c>
      <c r="I1" s="31" t="s">
        <v>5</v>
      </c>
      <c r="J1" s="25" t="s">
        <v>263</v>
      </c>
    </row>
    <row r="2" spans="1:10" x14ac:dyDescent="0.3">
      <c r="A2" s="32" t="s">
        <v>231</v>
      </c>
      <c r="B2" s="32" t="s">
        <v>164</v>
      </c>
      <c r="C2" s="32" t="s">
        <v>166</v>
      </c>
      <c r="D2" s="32" t="s">
        <v>14</v>
      </c>
      <c r="E2" s="32" t="s">
        <v>120</v>
      </c>
      <c r="F2" s="19">
        <v>2000</v>
      </c>
      <c r="G2" s="33">
        <f>$F$2*5%</f>
        <v>100</v>
      </c>
      <c r="H2" s="33">
        <f>$F$2*5%</f>
        <v>100</v>
      </c>
      <c r="I2" s="33">
        <f>F2+G2+H2</f>
        <v>2200</v>
      </c>
      <c r="J2" s="33">
        <v>2000</v>
      </c>
    </row>
    <row r="3" spans="1:10" x14ac:dyDescent="0.3">
      <c r="A3" s="32" t="s">
        <v>232</v>
      </c>
      <c r="B3" s="32" t="s">
        <v>164</v>
      </c>
      <c r="C3" s="32" t="s">
        <v>166</v>
      </c>
      <c r="D3" s="32" t="s">
        <v>12</v>
      </c>
      <c r="E3" s="32" t="s">
        <v>119</v>
      </c>
      <c r="F3" s="19">
        <v>5000</v>
      </c>
      <c r="G3" s="33">
        <f>F3*5%</f>
        <v>250</v>
      </c>
      <c r="H3" s="33">
        <f>$F$2*5%</f>
        <v>100</v>
      </c>
      <c r="I3" s="33">
        <f>F3+G3+H3</f>
        <v>5350</v>
      </c>
      <c r="J3" s="33">
        <v>6000</v>
      </c>
    </row>
    <row r="4" spans="1:10" x14ac:dyDescent="0.3">
      <c r="A4" s="32" t="s">
        <v>167</v>
      </c>
      <c r="B4" s="32" t="s">
        <v>164</v>
      </c>
      <c r="C4" s="32" t="s">
        <v>165</v>
      </c>
      <c r="D4" s="32" t="s">
        <v>12</v>
      </c>
      <c r="E4" s="32" t="s">
        <v>81</v>
      </c>
      <c r="F4" s="19">
        <v>3000</v>
      </c>
      <c r="G4" s="33">
        <f>F4*5%</f>
        <v>150</v>
      </c>
      <c r="H4" s="33">
        <f>$F$2*5%</f>
        <v>100</v>
      </c>
      <c r="I4" s="33">
        <f>F4+G4+H4</f>
        <v>3250</v>
      </c>
      <c r="J4" s="33">
        <v>3500</v>
      </c>
    </row>
    <row r="5" spans="1:10" x14ac:dyDescent="0.3">
      <c r="A5" s="32" t="s">
        <v>168</v>
      </c>
      <c r="B5" s="32" t="s">
        <v>164</v>
      </c>
      <c r="C5" s="32" t="s">
        <v>165</v>
      </c>
      <c r="D5" s="32" t="s">
        <v>14</v>
      </c>
      <c r="E5" s="32" t="s">
        <v>116</v>
      </c>
      <c r="F5" s="19">
        <v>1500</v>
      </c>
      <c r="G5" s="33">
        <f>F5*5%</f>
        <v>75</v>
      </c>
      <c r="H5" s="33">
        <f>$F$2*5%</f>
        <v>100</v>
      </c>
      <c r="I5" s="33">
        <f>F5+G5+H5</f>
        <v>1675</v>
      </c>
      <c r="J5" s="33">
        <v>2000</v>
      </c>
    </row>
  </sheetData>
  <sortState xmlns:xlrd2="http://schemas.microsoft.com/office/spreadsheetml/2017/richdata2" ref="A2:H5">
    <sortCondition ref="C2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J32"/>
  <sheetViews>
    <sheetView workbookViewId="0"/>
  </sheetViews>
  <sheetFormatPr baseColWidth="10" defaultRowHeight="14.4" x14ac:dyDescent="0.3"/>
  <cols>
    <col min="3" max="3" width="18.33203125" customWidth="1"/>
    <col min="4" max="4" width="23.5546875" bestFit="1" customWidth="1"/>
    <col min="5" max="5" width="13.6640625" bestFit="1" customWidth="1"/>
    <col min="7" max="7" width="10.6640625" customWidth="1"/>
    <col min="8" max="8" width="17.33203125" customWidth="1"/>
    <col min="9" max="9" width="13.44140625" customWidth="1"/>
  </cols>
  <sheetData>
    <row r="1" spans="1:10" x14ac:dyDescent="0.3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6</v>
      </c>
      <c r="G1" s="44" t="s">
        <v>264</v>
      </c>
      <c r="H1" s="44" t="s">
        <v>233</v>
      </c>
      <c r="I1" s="49" t="s">
        <v>5</v>
      </c>
      <c r="J1" s="48" t="s">
        <v>257</v>
      </c>
    </row>
    <row r="2" spans="1:10" x14ac:dyDescent="0.3">
      <c r="A2" s="5" t="s">
        <v>206</v>
      </c>
      <c r="B2" s="5" t="s">
        <v>169</v>
      </c>
      <c r="C2" s="5" t="s">
        <v>182</v>
      </c>
      <c r="D2" s="5" t="s">
        <v>9</v>
      </c>
      <c r="E2" s="5" t="s">
        <v>183</v>
      </c>
      <c r="F2" s="6">
        <v>2600</v>
      </c>
      <c r="G2" s="7">
        <f>F2*5%</f>
        <v>130</v>
      </c>
      <c r="H2" s="7">
        <f>F2*5%</f>
        <v>130</v>
      </c>
      <c r="I2" s="8">
        <f>F2+G2+H2</f>
        <v>2860</v>
      </c>
      <c r="J2" s="2">
        <v>3000</v>
      </c>
    </row>
    <row r="3" spans="1:10" x14ac:dyDescent="0.3">
      <c r="A3" s="5" t="s">
        <v>219</v>
      </c>
      <c r="B3" s="5" t="s">
        <v>169</v>
      </c>
      <c r="C3" s="5" t="s">
        <v>217</v>
      </c>
      <c r="D3" s="5" t="s">
        <v>31</v>
      </c>
      <c r="E3" s="5" t="s">
        <v>172</v>
      </c>
      <c r="F3" s="6">
        <v>3000</v>
      </c>
      <c r="G3" s="7">
        <f t="shared" ref="G3:G30" si="0">F3*5%</f>
        <v>150</v>
      </c>
      <c r="H3" s="7">
        <f t="shared" ref="H3:H30" si="1">F3*5%</f>
        <v>150</v>
      </c>
      <c r="I3" s="8">
        <f t="shared" ref="I3:I30" si="2">F3+G3+H3</f>
        <v>3300</v>
      </c>
      <c r="J3" s="8">
        <v>3000</v>
      </c>
    </row>
    <row r="4" spans="1:10" x14ac:dyDescent="0.3">
      <c r="A4" s="5" t="s">
        <v>220</v>
      </c>
      <c r="B4" s="5" t="s">
        <v>169</v>
      </c>
      <c r="C4" s="5" t="s">
        <v>184</v>
      </c>
      <c r="D4" s="5" t="s">
        <v>9</v>
      </c>
      <c r="E4" s="5" t="s">
        <v>172</v>
      </c>
      <c r="F4" s="6">
        <v>2000</v>
      </c>
      <c r="G4" s="7">
        <f t="shared" si="0"/>
        <v>100</v>
      </c>
      <c r="H4" s="7">
        <f t="shared" si="1"/>
        <v>100</v>
      </c>
      <c r="I4" s="8">
        <f t="shared" si="2"/>
        <v>2200</v>
      </c>
      <c r="J4" s="8">
        <v>2500</v>
      </c>
    </row>
    <row r="5" spans="1:10" x14ac:dyDescent="0.3">
      <c r="A5" s="5" t="s">
        <v>201</v>
      </c>
      <c r="B5" s="5" t="s">
        <v>169</v>
      </c>
      <c r="C5" s="5" t="s">
        <v>270</v>
      </c>
      <c r="D5" s="5" t="s">
        <v>9</v>
      </c>
      <c r="E5" s="5" t="s">
        <v>185</v>
      </c>
      <c r="F5" s="6">
        <v>2000</v>
      </c>
      <c r="G5" s="7">
        <f t="shared" si="0"/>
        <v>100</v>
      </c>
      <c r="H5" s="7">
        <f t="shared" si="1"/>
        <v>100</v>
      </c>
      <c r="I5" s="8">
        <f t="shared" si="2"/>
        <v>2200</v>
      </c>
      <c r="J5" s="8">
        <v>2200</v>
      </c>
    </row>
    <row r="6" spans="1:10" x14ac:dyDescent="0.3">
      <c r="A6" s="5" t="s">
        <v>202</v>
      </c>
      <c r="B6" s="50" t="s">
        <v>169</v>
      </c>
      <c r="C6" s="50" t="s">
        <v>199</v>
      </c>
      <c r="D6" s="50" t="s">
        <v>9</v>
      </c>
      <c r="E6" s="50" t="s">
        <v>183</v>
      </c>
      <c r="F6" s="45">
        <v>2300</v>
      </c>
      <c r="G6" s="7">
        <f t="shared" si="0"/>
        <v>115</v>
      </c>
      <c r="H6" s="7">
        <f t="shared" si="1"/>
        <v>115</v>
      </c>
      <c r="I6" s="8">
        <f t="shared" si="2"/>
        <v>2530</v>
      </c>
      <c r="J6" s="51">
        <v>2500</v>
      </c>
    </row>
    <row r="7" spans="1:10" x14ac:dyDescent="0.3">
      <c r="A7" s="5" t="s">
        <v>203</v>
      </c>
      <c r="B7" s="50" t="s">
        <v>169</v>
      </c>
      <c r="C7" s="50" t="s">
        <v>200</v>
      </c>
      <c r="D7" s="50" t="s">
        <v>9</v>
      </c>
      <c r="E7" s="50" t="s">
        <v>183</v>
      </c>
      <c r="F7" s="45">
        <v>2300</v>
      </c>
      <c r="G7" s="7">
        <f t="shared" si="0"/>
        <v>115</v>
      </c>
      <c r="H7" s="7">
        <f t="shared" si="1"/>
        <v>115</v>
      </c>
      <c r="I7" s="8">
        <f t="shared" si="2"/>
        <v>2530</v>
      </c>
      <c r="J7" s="51">
        <v>2500</v>
      </c>
    </row>
    <row r="8" spans="1:10" x14ac:dyDescent="0.3">
      <c r="A8" s="5" t="s">
        <v>204</v>
      </c>
      <c r="B8" s="5" t="s">
        <v>169</v>
      </c>
      <c r="C8" s="5" t="s">
        <v>198</v>
      </c>
      <c r="D8" s="5" t="s">
        <v>9</v>
      </c>
      <c r="E8" s="5" t="s">
        <v>185</v>
      </c>
      <c r="F8" s="6">
        <v>2300</v>
      </c>
      <c r="G8" s="7">
        <f t="shared" si="0"/>
        <v>115</v>
      </c>
      <c r="H8" s="7">
        <f t="shared" si="1"/>
        <v>115</v>
      </c>
      <c r="I8" s="8">
        <f t="shared" si="2"/>
        <v>2530</v>
      </c>
      <c r="J8" s="8">
        <v>2500</v>
      </c>
    </row>
    <row r="9" spans="1:10" x14ac:dyDescent="0.3">
      <c r="A9" s="5" t="s">
        <v>221</v>
      </c>
      <c r="B9" s="5" t="s">
        <v>169</v>
      </c>
      <c r="C9" s="5" t="s">
        <v>194</v>
      </c>
      <c r="D9" s="5" t="s">
        <v>9</v>
      </c>
      <c r="E9" s="5" t="s">
        <v>116</v>
      </c>
      <c r="F9" s="6">
        <v>30000</v>
      </c>
      <c r="G9" s="7">
        <f t="shared" si="0"/>
        <v>1500</v>
      </c>
      <c r="H9" s="7">
        <f t="shared" si="1"/>
        <v>1500</v>
      </c>
      <c r="I9" s="8">
        <f t="shared" si="2"/>
        <v>33000</v>
      </c>
      <c r="J9" s="8">
        <v>30000</v>
      </c>
    </row>
    <row r="10" spans="1:10" x14ac:dyDescent="0.3">
      <c r="A10" s="5" t="s">
        <v>205</v>
      </c>
      <c r="B10" s="5" t="s">
        <v>169</v>
      </c>
      <c r="C10" s="5" t="s">
        <v>194</v>
      </c>
      <c r="D10" s="5" t="s">
        <v>9</v>
      </c>
      <c r="E10" s="5" t="s">
        <v>195</v>
      </c>
      <c r="F10" s="6">
        <v>15000</v>
      </c>
      <c r="G10" s="7">
        <f t="shared" si="0"/>
        <v>750</v>
      </c>
      <c r="H10" s="7">
        <f t="shared" si="1"/>
        <v>750</v>
      </c>
      <c r="I10" s="8">
        <f t="shared" si="2"/>
        <v>16500</v>
      </c>
      <c r="J10" s="8">
        <v>15000</v>
      </c>
    </row>
    <row r="11" spans="1:10" x14ac:dyDescent="0.3">
      <c r="A11" s="5" t="s">
        <v>222</v>
      </c>
      <c r="B11" s="5" t="s">
        <v>169</v>
      </c>
      <c r="C11" s="5" t="s">
        <v>218</v>
      </c>
      <c r="D11" s="5" t="s">
        <v>31</v>
      </c>
      <c r="E11" s="5" t="s">
        <v>172</v>
      </c>
      <c r="F11" s="6">
        <v>1800</v>
      </c>
      <c r="G11" s="7">
        <f t="shared" si="0"/>
        <v>90</v>
      </c>
      <c r="H11" s="7">
        <f t="shared" si="1"/>
        <v>90</v>
      </c>
      <c r="I11" s="8">
        <f t="shared" si="2"/>
        <v>1980</v>
      </c>
      <c r="J11" s="8">
        <v>2000</v>
      </c>
    </row>
    <row r="12" spans="1:10" x14ac:dyDescent="0.3">
      <c r="A12" s="5" t="s">
        <v>223</v>
      </c>
      <c r="B12" s="5" t="s">
        <v>169</v>
      </c>
      <c r="C12" s="5" t="s">
        <v>173</v>
      </c>
      <c r="D12" s="5" t="s">
        <v>9</v>
      </c>
      <c r="E12" s="5" t="s">
        <v>34</v>
      </c>
      <c r="F12" s="6">
        <v>1600</v>
      </c>
      <c r="G12" s="7">
        <f t="shared" si="0"/>
        <v>80</v>
      </c>
      <c r="H12" s="7">
        <f t="shared" si="1"/>
        <v>80</v>
      </c>
      <c r="I12" s="8">
        <f t="shared" si="2"/>
        <v>1760</v>
      </c>
      <c r="J12" s="8">
        <v>2000</v>
      </c>
    </row>
    <row r="13" spans="1:10" x14ac:dyDescent="0.3">
      <c r="A13" s="5" t="s">
        <v>224</v>
      </c>
      <c r="B13" s="5" t="s">
        <v>169</v>
      </c>
      <c r="C13" s="5" t="s">
        <v>173</v>
      </c>
      <c r="D13" s="5" t="s">
        <v>9</v>
      </c>
      <c r="E13" s="5" t="s">
        <v>174</v>
      </c>
      <c r="F13" s="6">
        <v>900</v>
      </c>
      <c r="G13" s="7">
        <f t="shared" si="0"/>
        <v>45</v>
      </c>
      <c r="H13" s="7">
        <f t="shared" si="1"/>
        <v>45</v>
      </c>
      <c r="I13" s="8">
        <f t="shared" si="2"/>
        <v>990</v>
      </c>
      <c r="J13" s="8">
        <v>1000</v>
      </c>
    </row>
    <row r="14" spans="1:10" x14ac:dyDescent="0.3">
      <c r="A14" s="5" t="s">
        <v>225</v>
      </c>
      <c r="B14" s="5" t="s">
        <v>169</v>
      </c>
      <c r="C14" s="5" t="s">
        <v>178</v>
      </c>
      <c r="D14" s="5" t="s">
        <v>9</v>
      </c>
      <c r="E14" s="5" t="s">
        <v>179</v>
      </c>
      <c r="F14" s="6">
        <v>3000</v>
      </c>
      <c r="G14" s="7">
        <f t="shared" si="0"/>
        <v>150</v>
      </c>
      <c r="H14" s="7">
        <f t="shared" si="1"/>
        <v>150</v>
      </c>
      <c r="I14" s="8">
        <f t="shared" si="2"/>
        <v>3300</v>
      </c>
      <c r="J14" s="8">
        <v>3300</v>
      </c>
    </row>
    <row r="15" spans="1:10" x14ac:dyDescent="0.3">
      <c r="A15" s="5" t="s">
        <v>207</v>
      </c>
      <c r="B15" s="5" t="s">
        <v>169</v>
      </c>
      <c r="C15" s="5" t="s">
        <v>190</v>
      </c>
      <c r="D15" s="5" t="s">
        <v>9</v>
      </c>
      <c r="E15" s="5" t="s">
        <v>191</v>
      </c>
      <c r="F15" s="6">
        <v>5000</v>
      </c>
      <c r="G15" s="7">
        <f t="shared" si="0"/>
        <v>250</v>
      </c>
      <c r="H15" s="7">
        <f t="shared" si="1"/>
        <v>250</v>
      </c>
      <c r="I15" s="8">
        <f t="shared" si="2"/>
        <v>5500</v>
      </c>
      <c r="J15" s="8">
        <v>5500</v>
      </c>
    </row>
    <row r="16" spans="1:10" x14ac:dyDescent="0.3">
      <c r="A16" s="5" t="s">
        <v>208</v>
      </c>
      <c r="B16" s="5" t="s">
        <v>169</v>
      </c>
      <c r="C16" s="5" t="s">
        <v>197</v>
      </c>
      <c r="D16" s="5" t="s">
        <v>9</v>
      </c>
      <c r="E16" s="5" t="s">
        <v>116</v>
      </c>
      <c r="F16" s="6">
        <v>3000</v>
      </c>
      <c r="G16" s="7">
        <f t="shared" si="0"/>
        <v>150</v>
      </c>
      <c r="H16" s="7">
        <f t="shared" si="1"/>
        <v>150</v>
      </c>
      <c r="I16" s="8">
        <f t="shared" si="2"/>
        <v>3300</v>
      </c>
      <c r="J16" s="8">
        <v>3300</v>
      </c>
    </row>
    <row r="17" spans="1:10" x14ac:dyDescent="0.3">
      <c r="A17" s="5" t="s">
        <v>209</v>
      </c>
      <c r="B17" s="5" t="s">
        <v>169</v>
      </c>
      <c r="C17" s="5" t="s">
        <v>186</v>
      </c>
      <c r="D17" s="5" t="s">
        <v>9</v>
      </c>
      <c r="E17" s="5" t="s">
        <v>187</v>
      </c>
      <c r="F17" s="6">
        <v>2500</v>
      </c>
      <c r="G17" s="7">
        <f t="shared" si="0"/>
        <v>125</v>
      </c>
      <c r="H17" s="7">
        <f t="shared" si="1"/>
        <v>125</v>
      </c>
      <c r="I17" s="8">
        <f t="shared" si="2"/>
        <v>2750</v>
      </c>
      <c r="J17" s="8">
        <v>3000</v>
      </c>
    </row>
    <row r="18" spans="1:10" x14ac:dyDescent="0.3">
      <c r="A18" s="5" t="s">
        <v>210</v>
      </c>
      <c r="B18" s="52" t="s">
        <v>169</v>
      </c>
      <c r="C18" s="52" t="s">
        <v>177</v>
      </c>
      <c r="D18" s="52" t="s">
        <v>9</v>
      </c>
      <c r="E18" s="52" t="s">
        <v>176</v>
      </c>
      <c r="F18" s="46">
        <v>27000</v>
      </c>
      <c r="G18" s="7">
        <f t="shared" si="0"/>
        <v>1350</v>
      </c>
      <c r="H18" s="7">
        <f t="shared" si="1"/>
        <v>1350</v>
      </c>
      <c r="I18" s="8">
        <f t="shared" si="2"/>
        <v>29700</v>
      </c>
      <c r="J18" s="53">
        <v>28000</v>
      </c>
    </row>
    <row r="19" spans="1:10" x14ac:dyDescent="0.3">
      <c r="A19" s="5" t="s">
        <v>211</v>
      </c>
      <c r="B19" s="5" t="s">
        <v>169</v>
      </c>
      <c r="C19" s="5" t="s">
        <v>175</v>
      </c>
      <c r="D19" s="5" t="s">
        <v>9</v>
      </c>
      <c r="E19" s="5" t="s">
        <v>176</v>
      </c>
      <c r="F19" s="6">
        <v>18000</v>
      </c>
      <c r="G19" s="7">
        <f t="shared" si="0"/>
        <v>900</v>
      </c>
      <c r="H19" s="7">
        <f t="shared" si="1"/>
        <v>900</v>
      </c>
      <c r="I19" s="8">
        <f t="shared" si="2"/>
        <v>19800</v>
      </c>
      <c r="J19" s="8">
        <v>20000</v>
      </c>
    </row>
    <row r="20" spans="1:10" x14ac:dyDescent="0.3">
      <c r="A20" s="5" t="s">
        <v>212</v>
      </c>
      <c r="B20" s="5" t="s">
        <v>169</v>
      </c>
      <c r="C20" s="5" t="s">
        <v>171</v>
      </c>
      <c r="D20" s="5" t="s">
        <v>9</v>
      </c>
      <c r="E20" s="5" t="s">
        <v>172</v>
      </c>
      <c r="F20" s="6">
        <v>2700</v>
      </c>
      <c r="G20" s="7">
        <f t="shared" si="0"/>
        <v>135</v>
      </c>
      <c r="H20" s="7">
        <f t="shared" si="1"/>
        <v>135</v>
      </c>
      <c r="I20" s="8">
        <f t="shared" si="2"/>
        <v>2970</v>
      </c>
      <c r="J20" s="8">
        <v>3000</v>
      </c>
    </row>
    <row r="21" spans="1:10" x14ac:dyDescent="0.3">
      <c r="A21" s="5" t="s">
        <v>227</v>
      </c>
      <c r="B21" s="5" t="s">
        <v>169</v>
      </c>
      <c r="C21" s="5" t="s">
        <v>124</v>
      </c>
      <c r="D21" s="5" t="s">
        <v>12</v>
      </c>
      <c r="E21" s="5" t="s">
        <v>216</v>
      </c>
      <c r="F21" s="6">
        <v>2900</v>
      </c>
      <c r="G21" s="7">
        <f t="shared" si="0"/>
        <v>145</v>
      </c>
      <c r="H21" s="7">
        <f t="shared" si="1"/>
        <v>145</v>
      </c>
      <c r="I21" s="8">
        <f t="shared" si="2"/>
        <v>3190</v>
      </c>
      <c r="J21" s="8">
        <v>3500</v>
      </c>
    </row>
    <row r="22" spans="1:10" x14ac:dyDescent="0.3">
      <c r="A22" s="5" t="s">
        <v>213</v>
      </c>
      <c r="B22" s="5" t="s">
        <v>169</v>
      </c>
      <c r="C22" s="5" t="s">
        <v>196</v>
      </c>
      <c r="D22" s="5" t="s">
        <v>9</v>
      </c>
      <c r="E22" s="5" t="s">
        <v>59</v>
      </c>
      <c r="F22" s="6">
        <v>3000</v>
      </c>
      <c r="G22" s="7">
        <f t="shared" si="0"/>
        <v>150</v>
      </c>
      <c r="H22" s="7">
        <f t="shared" si="1"/>
        <v>150</v>
      </c>
      <c r="I22" s="8">
        <f t="shared" si="2"/>
        <v>3300</v>
      </c>
      <c r="J22" s="8">
        <v>3500</v>
      </c>
    </row>
    <row r="23" spans="1:10" x14ac:dyDescent="0.3">
      <c r="A23" s="5" t="s">
        <v>214</v>
      </c>
      <c r="B23" s="5" t="s">
        <v>169</v>
      </c>
      <c r="C23" s="5" t="s">
        <v>196</v>
      </c>
      <c r="D23" s="5" t="s">
        <v>9</v>
      </c>
      <c r="E23" s="5" t="s">
        <v>60</v>
      </c>
      <c r="F23" s="6">
        <v>1500</v>
      </c>
      <c r="G23" s="7">
        <f t="shared" si="0"/>
        <v>75</v>
      </c>
      <c r="H23" s="7">
        <f t="shared" si="1"/>
        <v>75</v>
      </c>
      <c r="I23" s="8">
        <f t="shared" si="2"/>
        <v>1650</v>
      </c>
      <c r="J23" s="8">
        <v>2000</v>
      </c>
    </row>
    <row r="24" spans="1:10" x14ac:dyDescent="0.3">
      <c r="A24" s="5" t="s">
        <v>226</v>
      </c>
      <c r="B24" s="5" t="s">
        <v>169</v>
      </c>
      <c r="C24" s="5" t="s">
        <v>170</v>
      </c>
      <c r="D24" s="5" t="s">
        <v>12</v>
      </c>
      <c r="E24" s="5" t="s">
        <v>216</v>
      </c>
      <c r="F24" s="6">
        <v>3000</v>
      </c>
      <c r="G24" s="7">
        <f t="shared" si="0"/>
        <v>150</v>
      </c>
      <c r="H24" s="7">
        <f t="shared" si="1"/>
        <v>150</v>
      </c>
      <c r="I24" s="8">
        <f t="shared" si="2"/>
        <v>3300</v>
      </c>
      <c r="J24" s="8">
        <v>4000</v>
      </c>
    </row>
    <row r="25" spans="1:10" x14ac:dyDescent="0.3">
      <c r="A25" s="5" t="s">
        <v>215</v>
      </c>
      <c r="B25" s="5" t="s">
        <v>169</v>
      </c>
      <c r="C25" s="5" t="s">
        <v>170</v>
      </c>
      <c r="D25" s="5" t="s">
        <v>14</v>
      </c>
      <c r="E25" s="5" t="s">
        <v>60</v>
      </c>
      <c r="F25" s="6">
        <v>1500</v>
      </c>
      <c r="G25" s="7">
        <f t="shared" si="0"/>
        <v>75</v>
      </c>
      <c r="H25" s="7">
        <f t="shared" si="1"/>
        <v>75</v>
      </c>
      <c r="I25" s="8">
        <f t="shared" si="2"/>
        <v>1650</v>
      </c>
      <c r="J25" s="8">
        <v>2000</v>
      </c>
    </row>
    <row r="26" spans="1:10" x14ac:dyDescent="0.3">
      <c r="A26" s="5" t="s">
        <v>228</v>
      </c>
      <c r="B26" s="5" t="s">
        <v>169</v>
      </c>
      <c r="C26" s="5" t="s">
        <v>180</v>
      </c>
      <c r="D26" s="5" t="s">
        <v>9</v>
      </c>
      <c r="E26" s="5" t="s">
        <v>181</v>
      </c>
      <c r="F26" s="6">
        <v>2700</v>
      </c>
      <c r="G26" s="7">
        <f t="shared" si="0"/>
        <v>135</v>
      </c>
      <c r="H26" s="7">
        <f t="shared" si="1"/>
        <v>135</v>
      </c>
      <c r="I26" s="8">
        <f t="shared" si="2"/>
        <v>2970</v>
      </c>
      <c r="J26" s="8">
        <v>3000</v>
      </c>
    </row>
    <row r="27" spans="1:10" x14ac:dyDescent="0.3">
      <c r="A27" s="5" t="s">
        <v>229</v>
      </c>
      <c r="B27" s="5" t="s">
        <v>169</v>
      </c>
      <c r="C27" s="5" t="s">
        <v>192</v>
      </c>
      <c r="D27" s="5" t="s">
        <v>9</v>
      </c>
      <c r="E27" s="5" t="s">
        <v>193</v>
      </c>
      <c r="F27" s="6">
        <v>2500</v>
      </c>
      <c r="G27" s="7">
        <f t="shared" si="0"/>
        <v>125</v>
      </c>
      <c r="H27" s="7">
        <f t="shared" si="1"/>
        <v>125</v>
      </c>
      <c r="I27" s="8">
        <f t="shared" si="2"/>
        <v>2750</v>
      </c>
      <c r="J27" s="8">
        <v>3000</v>
      </c>
    </row>
    <row r="28" spans="1:10" x14ac:dyDescent="0.3">
      <c r="A28" s="5" t="s">
        <v>230</v>
      </c>
      <c r="B28" s="5" t="s">
        <v>169</v>
      </c>
      <c r="C28" s="5" t="s">
        <v>188</v>
      </c>
      <c r="D28" s="5" t="s">
        <v>9</v>
      </c>
      <c r="E28" s="5" t="s">
        <v>189</v>
      </c>
      <c r="F28" s="6">
        <v>3500</v>
      </c>
      <c r="G28" s="7">
        <f t="shared" si="0"/>
        <v>175</v>
      </c>
      <c r="H28" s="7">
        <f t="shared" si="1"/>
        <v>175</v>
      </c>
      <c r="I28" s="8">
        <f t="shared" si="2"/>
        <v>3850</v>
      </c>
      <c r="J28" s="8">
        <v>4000</v>
      </c>
    </row>
    <row r="29" spans="1:10" x14ac:dyDescent="0.3">
      <c r="A29" s="5" t="s">
        <v>266</v>
      </c>
      <c r="B29" s="2" t="s">
        <v>169</v>
      </c>
      <c r="C29" s="5" t="s">
        <v>265</v>
      </c>
      <c r="D29" s="5" t="s">
        <v>9</v>
      </c>
      <c r="E29" s="2" t="s">
        <v>271</v>
      </c>
      <c r="F29" s="6">
        <v>6000</v>
      </c>
      <c r="G29" s="47">
        <f t="shared" si="0"/>
        <v>300</v>
      </c>
      <c r="H29" s="47">
        <f t="shared" si="1"/>
        <v>300</v>
      </c>
      <c r="I29" s="8">
        <f t="shared" si="2"/>
        <v>6600</v>
      </c>
      <c r="J29" s="8">
        <v>6000</v>
      </c>
    </row>
    <row r="30" spans="1:10" x14ac:dyDescent="0.3">
      <c r="A30" s="5" t="s">
        <v>267</v>
      </c>
      <c r="B30" s="2" t="s">
        <v>169</v>
      </c>
      <c r="C30" s="5" t="s">
        <v>268</v>
      </c>
      <c r="D30" s="5" t="s">
        <v>269</v>
      </c>
      <c r="E30" s="2" t="s">
        <v>271</v>
      </c>
      <c r="F30" s="6">
        <v>6000</v>
      </c>
      <c r="G30" s="47">
        <f t="shared" si="0"/>
        <v>300</v>
      </c>
      <c r="H30" s="47">
        <f t="shared" si="1"/>
        <v>300</v>
      </c>
      <c r="I30" s="8">
        <f t="shared" si="2"/>
        <v>6600</v>
      </c>
      <c r="J30" s="2">
        <v>6000</v>
      </c>
    </row>
    <row r="31" spans="1:10" x14ac:dyDescent="0.3">
      <c r="A31" s="5" t="s">
        <v>275</v>
      </c>
      <c r="B31" s="5" t="s">
        <v>169</v>
      </c>
      <c r="C31" s="5" t="s">
        <v>124</v>
      </c>
      <c r="D31" s="5" t="s">
        <v>14</v>
      </c>
      <c r="E31" s="5" t="s">
        <v>277</v>
      </c>
      <c r="F31" s="6">
        <v>1450</v>
      </c>
      <c r="G31" s="7">
        <f>F31*5%</f>
        <v>72.5</v>
      </c>
      <c r="H31" s="7">
        <f>F31*5%</f>
        <v>72.5</v>
      </c>
      <c r="I31" s="8">
        <f>F31+G31+H31</f>
        <v>1595</v>
      </c>
      <c r="J31" s="8">
        <v>1600</v>
      </c>
    </row>
    <row r="32" spans="1:10" x14ac:dyDescent="0.3">
      <c r="A32" s="5" t="s">
        <v>289</v>
      </c>
      <c r="B32" s="5" t="s">
        <v>169</v>
      </c>
      <c r="C32" s="5" t="s">
        <v>278</v>
      </c>
      <c r="D32" s="5" t="s">
        <v>9</v>
      </c>
      <c r="E32" s="5" t="s">
        <v>172</v>
      </c>
      <c r="F32" s="6">
        <v>8000</v>
      </c>
      <c r="G32" s="47">
        <f>F32*5%</f>
        <v>400</v>
      </c>
      <c r="H32" s="47">
        <f>F32*5%</f>
        <v>400</v>
      </c>
      <c r="I32" s="8">
        <f>F32+G32+H32</f>
        <v>8800</v>
      </c>
      <c r="J32" s="8">
        <v>9000</v>
      </c>
    </row>
  </sheetData>
  <sortState xmlns:xlrd2="http://schemas.microsoft.com/office/spreadsheetml/2017/richdata2" ref="A2:H29">
    <sortCondition ref="C2"/>
  </sortState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/>
  </sheetPr>
  <dimension ref="A1:E136"/>
  <sheetViews>
    <sheetView tabSelected="1" topLeftCell="A100" workbookViewId="0">
      <selection activeCell="C114" sqref="C114"/>
    </sheetView>
  </sheetViews>
  <sheetFormatPr baseColWidth="10" defaultRowHeight="14.4" x14ac:dyDescent="0.3"/>
  <cols>
    <col min="2" max="2" width="11.33203125" style="76" customWidth="1"/>
    <col min="3" max="3" width="33.5546875" style="77" customWidth="1"/>
    <col min="4" max="4" width="19.33203125" style="76" customWidth="1"/>
    <col min="5" max="5" width="11.44140625" style="76"/>
  </cols>
  <sheetData>
    <row r="1" spans="1:5" x14ac:dyDescent="0.3">
      <c r="A1" s="55" t="s">
        <v>1</v>
      </c>
      <c r="B1" s="58" t="s">
        <v>3</v>
      </c>
      <c r="C1" s="59" t="s">
        <v>2</v>
      </c>
      <c r="D1" s="58" t="s">
        <v>4</v>
      </c>
      <c r="E1" s="60" t="s">
        <v>6</v>
      </c>
    </row>
    <row r="2" spans="1:5" x14ac:dyDescent="0.3">
      <c r="A2" s="78" t="s">
        <v>7</v>
      </c>
      <c r="B2" s="61" t="s">
        <v>276</v>
      </c>
      <c r="C2" s="62" t="s">
        <v>300</v>
      </c>
      <c r="D2" s="61" t="s">
        <v>17</v>
      </c>
      <c r="E2" s="63">
        <v>2250</v>
      </c>
    </row>
    <row r="3" spans="1:5" x14ac:dyDescent="0.3">
      <c r="A3" s="78" t="s">
        <v>7</v>
      </c>
      <c r="B3" s="61" t="s">
        <v>276</v>
      </c>
      <c r="C3" s="62" t="s">
        <v>37</v>
      </c>
      <c r="D3" s="61" t="s">
        <v>38</v>
      </c>
      <c r="E3" s="63">
        <v>2250</v>
      </c>
    </row>
    <row r="4" spans="1:5" x14ac:dyDescent="0.3">
      <c r="A4" s="78" t="s">
        <v>7</v>
      </c>
      <c r="B4" s="61" t="s">
        <v>276</v>
      </c>
      <c r="C4" s="62" t="s">
        <v>301</v>
      </c>
      <c r="D4" s="61" t="s">
        <v>17</v>
      </c>
      <c r="E4" s="63">
        <v>2250</v>
      </c>
    </row>
    <row r="5" spans="1:5" x14ac:dyDescent="0.3">
      <c r="A5" s="78" t="s">
        <v>7</v>
      </c>
      <c r="B5" s="61" t="s">
        <v>276</v>
      </c>
      <c r="C5" s="62" t="s">
        <v>302</v>
      </c>
      <c r="D5" s="61" t="s">
        <v>17</v>
      </c>
      <c r="E5" s="63">
        <v>2250</v>
      </c>
    </row>
    <row r="6" spans="1:5" x14ac:dyDescent="0.3">
      <c r="A6" s="78" t="s">
        <v>7</v>
      </c>
      <c r="B6" s="61" t="s">
        <v>285</v>
      </c>
      <c r="C6" s="62" t="s">
        <v>33</v>
      </c>
      <c r="D6" s="61" t="s">
        <v>34</v>
      </c>
      <c r="E6" s="63">
        <v>2000</v>
      </c>
    </row>
    <row r="7" spans="1:5" x14ac:dyDescent="0.3">
      <c r="A7" s="78" t="s">
        <v>7</v>
      </c>
      <c r="B7" s="61" t="s">
        <v>285</v>
      </c>
      <c r="C7" s="62" t="s">
        <v>33</v>
      </c>
      <c r="D7" s="61" t="s">
        <v>35</v>
      </c>
      <c r="E7" s="63">
        <v>1000</v>
      </c>
    </row>
    <row r="8" spans="1:5" x14ac:dyDescent="0.3">
      <c r="A8" s="78" t="s">
        <v>7</v>
      </c>
      <c r="B8" s="61" t="s">
        <v>276</v>
      </c>
      <c r="C8" s="62" t="s">
        <v>8</v>
      </c>
      <c r="D8" s="61" t="s">
        <v>10</v>
      </c>
      <c r="E8" s="63">
        <v>2500</v>
      </c>
    </row>
    <row r="9" spans="1:5" x14ac:dyDescent="0.3">
      <c r="A9" s="78" t="s">
        <v>7</v>
      </c>
      <c r="B9" s="61" t="s">
        <v>291</v>
      </c>
      <c r="C9" s="62" t="s">
        <v>26</v>
      </c>
      <c r="D9" s="61" t="s">
        <v>27</v>
      </c>
      <c r="E9" s="63">
        <v>16000</v>
      </c>
    </row>
    <row r="10" spans="1:5" x14ac:dyDescent="0.3">
      <c r="A10" s="78" t="s">
        <v>7</v>
      </c>
      <c r="B10" s="61" t="s">
        <v>325</v>
      </c>
      <c r="C10" s="62" t="s">
        <v>335</v>
      </c>
      <c r="D10" s="61" t="s">
        <v>29</v>
      </c>
      <c r="E10" s="63">
        <v>5000</v>
      </c>
    </row>
    <row r="11" spans="1:5" x14ac:dyDescent="0.3">
      <c r="A11" s="78" t="s">
        <v>7</v>
      </c>
      <c r="B11" s="61" t="s">
        <v>325</v>
      </c>
      <c r="C11" s="62" t="s">
        <v>334</v>
      </c>
      <c r="D11" s="61" t="s">
        <v>13</v>
      </c>
      <c r="E11" s="63">
        <v>10000</v>
      </c>
    </row>
    <row r="12" spans="1:5" x14ac:dyDescent="0.3">
      <c r="A12" s="78" t="s">
        <v>7</v>
      </c>
      <c r="B12" s="61" t="s">
        <v>325</v>
      </c>
      <c r="C12" s="62" t="s">
        <v>343</v>
      </c>
      <c r="D12" s="61" t="s">
        <v>30</v>
      </c>
      <c r="E12" s="63">
        <v>20000</v>
      </c>
    </row>
    <row r="13" spans="1:5" x14ac:dyDescent="0.3">
      <c r="A13" s="78" t="s">
        <v>7</v>
      </c>
      <c r="B13" s="61" t="s">
        <v>291</v>
      </c>
      <c r="C13" s="62" t="s">
        <v>303</v>
      </c>
      <c r="D13" s="61" t="s">
        <v>25</v>
      </c>
      <c r="E13" s="63">
        <v>4500</v>
      </c>
    </row>
    <row r="14" spans="1:5" x14ac:dyDescent="0.3">
      <c r="A14" s="78" t="s">
        <v>7</v>
      </c>
      <c r="B14" s="61" t="s">
        <v>291</v>
      </c>
      <c r="C14" s="62" t="s">
        <v>344</v>
      </c>
      <c r="D14" s="61" t="s">
        <v>13</v>
      </c>
      <c r="E14" s="63">
        <v>5000</v>
      </c>
    </row>
    <row r="15" spans="1:5" x14ac:dyDescent="0.3">
      <c r="A15" s="78" t="s">
        <v>7</v>
      </c>
      <c r="B15" s="61" t="s">
        <v>291</v>
      </c>
      <c r="C15" s="62" t="s">
        <v>11</v>
      </c>
      <c r="D15" s="61" t="s">
        <v>15</v>
      </c>
      <c r="E15" s="63">
        <v>3500</v>
      </c>
    </row>
    <row r="16" spans="1:5" x14ac:dyDescent="0.3">
      <c r="A16" s="78" t="s">
        <v>7</v>
      </c>
      <c r="B16" s="61" t="s">
        <v>285</v>
      </c>
      <c r="C16" s="62" t="s">
        <v>36</v>
      </c>
      <c r="D16" s="61" t="s">
        <v>34</v>
      </c>
      <c r="E16" s="63">
        <v>2000</v>
      </c>
    </row>
    <row r="17" spans="1:5" x14ac:dyDescent="0.3">
      <c r="A17" s="78" t="s">
        <v>7</v>
      </c>
      <c r="B17" s="61" t="s">
        <v>276</v>
      </c>
      <c r="C17" s="62" t="s">
        <v>304</v>
      </c>
      <c r="D17" s="61" t="s">
        <v>21</v>
      </c>
      <c r="E17" s="63">
        <v>2500</v>
      </c>
    </row>
    <row r="18" spans="1:5" x14ac:dyDescent="0.3">
      <c r="A18" s="78" t="s">
        <v>7</v>
      </c>
      <c r="B18" s="61" t="s">
        <v>276</v>
      </c>
      <c r="C18" s="62" t="s">
        <v>305</v>
      </c>
      <c r="D18" s="61" t="s">
        <v>21</v>
      </c>
      <c r="E18" s="63">
        <v>2500</v>
      </c>
    </row>
    <row r="19" spans="1:5" x14ac:dyDescent="0.3">
      <c r="A19" s="78" t="s">
        <v>7</v>
      </c>
      <c r="B19" s="61" t="s">
        <v>276</v>
      </c>
      <c r="C19" s="62" t="s">
        <v>306</v>
      </c>
      <c r="D19" s="61" t="s">
        <v>21</v>
      </c>
      <c r="E19" s="63">
        <v>2500</v>
      </c>
    </row>
    <row r="20" spans="1:5" x14ac:dyDescent="0.3">
      <c r="A20" s="78" t="s">
        <v>7</v>
      </c>
      <c r="B20" s="61" t="s">
        <v>276</v>
      </c>
      <c r="C20" s="62" t="s">
        <v>365</v>
      </c>
      <c r="D20" s="61" t="s">
        <v>366</v>
      </c>
      <c r="E20" s="63">
        <v>7000</v>
      </c>
    </row>
    <row r="21" spans="1:5" x14ac:dyDescent="0.3">
      <c r="A21" s="78" t="s">
        <v>57</v>
      </c>
      <c r="B21" s="61" t="s">
        <v>279</v>
      </c>
      <c r="C21" s="62" t="s">
        <v>61</v>
      </c>
      <c r="D21" s="61" t="s">
        <v>62</v>
      </c>
      <c r="E21" s="63">
        <v>2000</v>
      </c>
    </row>
    <row r="22" spans="1:5" x14ac:dyDescent="0.3">
      <c r="A22" s="78" t="s">
        <v>57</v>
      </c>
      <c r="B22" s="61" t="s">
        <v>280</v>
      </c>
      <c r="C22" s="62" t="s">
        <v>58</v>
      </c>
      <c r="D22" s="61" t="s">
        <v>59</v>
      </c>
      <c r="E22" s="63">
        <v>4300</v>
      </c>
    </row>
    <row r="23" spans="1:5" x14ac:dyDescent="0.3">
      <c r="A23" s="78" t="s">
        <v>57</v>
      </c>
      <c r="B23" s="61" t="s">
        <v>280</v>
      </c>
      <c r="C23" s="62" t="s">
        <v>58</v>
      </c>
      <c r="D23" s="61" t="s">
        <v>60</v>
      </c>
      <c r="E23" s="63">
        <v>2300</v>
      </c>
    </row>
    <row r="24" spans="1:5" x14ac:dyDescent="0.3">
      <c r="A24" s="78" t="s">
        <v>57</v>
      </c>
      <c r="B24" s="61" t="s">
        <v>280</v>
      </c>
      <c r="C24" s="62" t="s">
        <v>63</v>
      </c>
      <c r="D24" s="61" t="s">
        <v>32</v>
      </c>
      <c r="E24" s="63">
        <v>1500</v>
      </c>
    </row>
    <row r="25" spans="1:5" x14ac:dyDescent="0.3">
      <c r="A25" s="78" t="s">
        <v>57</v>
      </c>
      <c r="B25" s="61" t="s">
        <v>280</v>
      </c>
      <c r="C25" s="62" t="s">
        <v>118</v>
      </c>
      <c r="D25" s="61" t="s">
        <v>119</v>
      </c>
      <c r="E25" s="63">
        <v>4500</v>
      </c>
    </row>
    <row r="26" spans="1:5" x14ac:dyDescent="0.3">
      <c r="A26" s="78" t="s">
        <v>57</v>
      </c>
      <c r="B26" s="61" t="s">
        <v>280</v>
      </c>
      <c r="C26" s="62" t="s">
        <v>118</v>
      </c>
      <c r="D26" s="61" t="s">
        <v>120</v>
      </c>
      <c r="E26" s="63">
        <v>2500</v>
      </c>
    </row>
    <row r="27" spans="1:5" x14ac:dyDescent="0.3">
      <c r="A27" s="78" t="s">
        <v>68</v>
      </c>
      <c r="B27" s="61" t="s">
        <v>274</v>
      </c>
      <c r="C27" s="62" t="s">
        <v>73</v>
      </c>
      <c r="D27" s="61" t="s">
        <v>13</v>
      </c>
      <c r="E27" s="63">
        <v>2000</v>
      </c>
    </row>
    <row r="28" spans="1:5" x14ac:dyDescent="0.3">
      <c r="A28" s="78" t="s">
        <v>68</v>
      </c>
      <c r="B28" s="61" t="s">
        <v>274</v>
      </c>
      <c r="C28" s="62" t="s">
        <v>84</v>
      </c>
      <c r="D28" s="61" t="s">
        <v>85</v>
      </c>
      <c r="E28" s="63">
        <v>2500</v>
      </c>
    </row>
    <row r="29" spans="1:5" x14ac:dyDescent="0.3">
      <c r="A29" s="78" t="s">
        <v>68</v>
      </c>
      <c r="B29" s="61" t="s">
        <v>274</v>
      </c>
      <c r="C29" s="62" t="s">
        <v>307</v>
      </c>
      <c r="D29" s="61" t="s">
        <v>30</v>
      </c>
      <c r="E29" s="63">
        <v>3200</v>
      </c>
    </row>
    <row r="30" spans="1:5" x14ac:dyDescent="0.3">
      <c r="A30" s="78" t="s">
        <v>68</v>
      </c>
      <c r="B30" s="61" t="s">
        <v>285</v>
      </c>
      <c r="C30" s="62" t="s">
        <v>308</v>
      </c>
      <c r="D30" s="61" t="s">
        <v>38</v>
      </c>
      <c r="E30" s="63">
        <v>2000</v>
      </c>
    </row>
    <row r="31" spans="1:5" x14ac:dyDescent="0.3">
      <c r="A31" s="78" t="s">
        <v>68</v>
      </c>
      <c r="B31" s="61" t="s">
        <v>274</v>
      </c>
      <c r="C31" s="62" t="s">
        <v>76</v>
      </c>
      <c r="D31" s="61" t="s">
        <v>75</v>
      </c>
      <c r="E31" s="63">
        <v>1500</v>
      </c>
    </row>
    <row r="32" spans="1:5" x14ac:dyDescent="0.3">
      <c r="A32" s="78" t="s">
        <v>68</v>
      </c>
      <c r="B32" s="61" t="s">
        <v>274</v>
      </c>
      <c r="C32" s="62" t="s">
        <v>69</v>
      </c>
      <c r="D32" s="61" t="s">
        <v>30</v>
      </c>
      <c r="E32" s="63">
        <v>3200</v>
      </c>
    </row>
    <row r="33" spans="1:5" x14ac:dyDescent="0.3">
      <c r="A33" s="78" t="s">
        <v>68</v>
      </c>
      <c r="B33" s="61" t="s">
        <v>274</v>
      </c>
      <c r="C33" s="62" t="s">
        <v>72</v>
      </c>
      <c r="D33" s="61" t="s">
        <v>13</v>
      </c>
      <c r="E33" s="63">
        <v>2000</v>
      </c>
    </row>
    <row r="34" spans="1:5" x14ac:dyDescent="0.3">
      <c r="A34" s="78" t="s">
        <v>68</v>
      </c>
      <c r="B34" s="61" t="s">
        <v>274</v>
      </c>
      <c r="C34" s="62" t="s">
        <v>309</v>
      </c>
      <c r="D34" s="61" t="s">
        <v>32</v>
      </c>
      <c r="E34" s="63">
        <v>2500</v>
      </c>
    </row>
    <row r="35" spans="1:5" x14ac:dyDescent="0.3">
      <c r="A35" s="78" t="s">
        <v>68</v>
      </c>
      <c r="B35" s="61" t="s">
        <v>274</v>
      </c>
      <c r="C35" s="62" t="s">
        <v>71</v>
      </c>
      <c r="D35" s="61" t="s">
        <v>29</v>
      </c>
      <c r="E35" s="63">
        <v>2500</v>
      </c>
    </row>
    <row r="36" spans="1:5" x14ac:dyDescent="0.3">
      <c r="A36" s="78" t="s">
        <v>68</v>
      </c>
      <c r="B36" s="61" t="s">
        <v>285</v>
      </c>
      <c r="C36" s="62" t="s">
        <v>78</v>
      </c>
      <c r="D36" s="61" t="s">
        <v>38</v>
      </c>
      <c r="E36" s="63">
        <v>2000</v>
      </c>
    </row>
    <row r="37" spans="1:5" x14ac:dyDescent="0.3">
      <c r="A37" s="78" t="s">
        <v>68</v>
      </c>
      <c r="B37" s="61" t="s">
        <v>294</v>
      </c>
      <c r="C37" s="62" t="s">
        <v>310</v>
      </c>
      <c r="D37" s="61" t="s">
        <v>81</v>
      </c>
      <c r="E37" s="63">
        <v>3000</v>
      </c>
    </row>
    <row r="38" spans="1:5" x14ac:dyDescent="0.3">
      <c r="A38" s="78" t="s">
        <v>68</v>
      </c>
      <c r="B38" s="61" t="s">
        <v>274</v>
      </c>
      <c r="C38" s="62" t="s">
        <v>74</v>
      </c>
      <c r="D38" s="61" t="s">
        <v>75</v>
      </c>
      <c r="E38" s="63">
        <v>1500</v>
      </c>
    </row>
    <row r="39" spans="1:5" x14ac:dyDescent="0.3">
      <c r="A39" s="78" t="s">
        <v>68</v>
      </c>
      <c r="B39" s="61" t="s">
        <v>274</v>
      </c>
      <c r="C39" s="62" t="s">
        <v>311</v>
      </c>
      <c r="D39" s="61" t="s">
        <v>30</v>
      </c>
      <c r="E39" s="63">
        <v>2500</v>
      </c>
    </row>
    <row r="40" spans="1:5" x14ac:dyDescent="0.3">
      <c r="A40" s="78" t="s">
        <v>68</v>
      </c>
      <c r="B40" s="61" t="s">
        <v>274</v>
      </c>
      <c r="C40" s="62" t="s">
        <v>80</v>
      </c>
      <c r="D40" s="61" t="s">
        <v>81</v>
      </c>
      <c r="E40" s="63">
        <v>3000</v>
      </c>
    </row>
    <row r="41" spans="1:5" x14ac:dyDescent="0.3">
      <c r="A41" s="78" t="s">
        <v>96</v>
      </c>
      <c r="B41" s="61" t="s">
        <v>279</v>
      </c>
      <c r="C41" s="62" t="s">
        <v>99</v>
      </c>
      <c r="D41" s="61" t="s">
        <v>100</v>
      </c>
      <c r="E41" s="63">
        <v>8000</v>
      </c>
    </row>
    <row r="42" spans="1:5" x14ac:dyDescent="0.3">
      <c r="A42" s="78" t="s">
        <v>96</v>
      </c>
      <c r="B42" s="61" t="s">
        <v>283</v>
      </c>
      <c r="C42" s="62" t="s">
        <v>97</v>
      </c>
      <c r="D42" s="61" t="s">
        <v>98</v>
      </c>
      <c r="E42" s="63">
        <v>8500</v>
      </c>
    </row>
    <row r="43" spans="1:5" x14ac:dyDescent="0.3">
      <c r="A43" s="78" t="s">
        <v>96</v>
      </c>
      <c r="B43" s="61" t="s">
        <v>280</v>
      </c>
      <c r="C43" s="62" t="s">
        <v>118</v>
      </c>
      <c r="D43" s="61" t="s">
        <v>119</v>
      </c>
      <c r="E43" s="63">
        <v>4500</v>
      </c>
    </row>
    <row r="44" spans="1:5" x14ac:dyDescent="0.3">
      <c r="A44" s="78" t="s">
        <v>96</v>
      </c>
      <c r="B44" s="61" t="s">
        <v>280</v>
      </c>
      <c r="C44" s="62" t="s">
        <v>118</v>
      </c>
      <c r="D44" s="61" t="s">
        <v>120</v>
      </c>
      <c r="E44" s="63">
        <v>2500</v>
      </c>
    </row>
    <row r="45" spans="1:5" x14ac:dyDescent="0.3">
      <c r="A45" s="78" t="s">
        <v>96</v>
      </c>
      <c r="B45" s="61" t="s">
        <v>281</v>
      </c>
      <c r="C45" s="62" t="s">
        <v>125</v>
      </c>
      <c r="D45" s="61" t="s">
        <v>81</v>
      </c>
      <c r="E45" s="63">
        <v>5000</v>
      </c>
    </row>
    <row r="46" spans="1:5" x14ac:dyDescent="0.3">
      <c r="A46" s="78" t="s">
        <v>96</v>
      </c>
      <c r="B46" s="61" t="s">
        <v>297</v>
      </c>
      <c r="C46" s="62" t="s">
        <v>290</v>
      </c>
      <c r="D46" s="61" t="s">
        <v>113</v>
      </c>
      <c r="E46" s="63">
        <v>9000</v>
      </c>
    </row>
    <row r="47" spans="1:5" x14ac:dyDescent="0.3">
      <c r="A47" s="78" t="s">
        <v>96</v>
      </c>
      <c r="B47" s="61" t="s">
        <v>297</v>
      </c>
      <c r="C47" s="62" t="s">
        <v>290</v>
      </c>
      <c r="D47" s="61" t="s">
        <v>114</v>
      </c>
      <c r="E47" s="63">
        <v>4500</v>
      </c>
    </row>
    <row r="48" spans="1:5" x14ac:dyDescent="0.3">
      <c r="A48" s="78" t="s">
        <v>96</v>
      </c>
      <c r="B48" s="61" t="s">
        <v>274</v>
      </c>
      <c r="C48" s="62" t="s">
        <v>123</v>
      </c>
      <c r="D48" s="61" t="s">
        <v>81</v>
      </c>
      <c r="E48" s="63">
        <v>2000</v>
      </c>
    </row>
    <row r="49" spans="1:5" x14ac:dyDescent="0.3">
      <c r="A49" s="78" t="s">
        <v>96</v>
      </c>
      <c r="B49" s="61" t="s">
        <v>288</v>
      </c>
      <c r="C49" s="62" t="s">
        <v>102</v>
      </c>
      <c r="D49" s="61" t="s">
        <v>32</v>
      </c>
      <c r="E49" s="63">
        <v>8500</v>
      </c>
    </row>
    <row r="50" spans="1:5" x14ac:dyDescent="0.3">
      <c r="A50" s="78" t="s">
        <v>96</v>
      </c>
      <c r="B50" s="61" t="s">
        <v>279</v>
      </c>
      <c r="C50" s="62" t="s">
        <v>127</v>
      </c>
      <c r="D50" s="61" t="s">
        <v>128</v>
      </c>
      <c r="E50" s="63">
        <v>2000</v>
      </c>
    </row>
    <row r="51" spans="1:5" x14ac:dyDescent="0.3">
      <c r="A51" s="78" t="s">
        <v>96</v>
      </c>
      <c r="B51" s="61" t="s">
        <v>283</v>
      </c>
      <c r="C51" s="62" t="s">
        <v>346</v>
      </c>
      <c r="D51" s="61" t="s">
        <v>136</v>
      </c>
      <c r="E51" s="63">
        <v>12000</v>
      </c>
    </row>
    <row r="52" spans="1:5" x14ac:dyDescent="0.3">
      <c r="A52" s="78" t="s">
        <v>96</v>
      </c>
      <c r="B52" s="61" t="s">
        <v>283</v>
      </c>
      <c r="C52" s="62" t="s">
        <v>312</v>
      </c>
      <c r="D52" s="61" t="s">
        <v>132</v>
      </c>
      <c r="E52" s="63">
        <v>6000</v>
      </c>
    </row>
    <row r="53" spans="1:5" x14ac:dyDescent="0.3">
      <c r="A53" s="78" t="s">
        <v>96</v>
      </c>
      <c r="B53" s="61" t="s">
        <v>283</v>
      </c>
      <c r="C53" s="62" t="s">
        <v>338</v>
      </c>
      <c r="D53" s="61" t="s">
        <v>337</v>
      </c>
      <c r="E53" s="63">
        <v>6000</v>
      </c>
    </row>
    <row r="54" spans="1:5" x14ac:dyDescent="0.3">
      <c r="A54" s="78" t="s">
        <v>96</v>
      </c>
      <c r="B54" s="61" t="s">
        <v>283</v>
      </c>
      <c r="C54" s="62" t="s">
        <v>339</v>
      </c>
      <c r="D54" s="61" t="s">
        <v>140</v>
      </c>
      <c r="E54" s="63">
        <v>12000</v>
      </c>
    </row>
    <row r="55" spans="1:5" x14ac:dyDescent="0.3">
      <c r="A55" s="78" t="s">
        <v>96</v>
      </c>
      <c r="B55" s="61" t="s">
        <v>283</v>
      </c>
      <c r="C55" s="62" t="s">
        <v>313</v>
      </c>
      <c r="D55" s="61" t="s">
        <v>114</v>
      </c>
      <c r="E55" s="63">
        <v>10000</v>
      </c>
    </row>
    <row r="56" spans="1:5" x14ac:dyDescent="0.3">
      <c r="A56" s="78" t="s">
        <v>96</v>
      </c>
      <c r="B56" s="61" t="s">
        <v>283</v>
      </c>
      <c r="C56" s="62" t="s">
        <v>340</v>
      </c>
      <c r="D56" s="61" t="s">
        <v>114</v>
      </c>
      <c r="E56" s="63">
        <v>12000</v>
      </c>
    </row>
    <row r="57" spans="1:5" x14ac:dyDescent="0.3">
      <c r="A57" s="78" t="s">
        <v>96</v>
      </c>
      <c r="B57" s="61" t="s">
        <v>283</v>
      </c>
      <c r="C57" s="62" t="s">
        <v>314</v>
      </c>
      <c r="D57" s="61" t="s">
        <v>132</v>
      </c>
      <c r="E57" s="63">
        <v>6000</v>
      </c>
    </row>
    <row r="58" spans="1:5" s="54" customFormat="1" x14ac:dyDescent="0.3">
      <c r="A58" s="78" t="s">
        <v>96</v>
      </c>
      <c r="B58" s="61" t="s">
        <v>283</v>
      </c>
      <c r="C58" s="62" t="s">
        <v>341</v>
      </c>
      <c r="D58" s="61" t="s">
        <v>131</v>
      </c>
      <c r="E58" s="63">
        <v>12000</v>
      </c>
    </row>
    <row r="59" spans="1:5" s="54" customFormat="1" x14ac:dyDescent="0.3">
      <c r="A59" s="78" t="s">
        <v>96</v>
      </c>
      <c r="B59" s="61" t="s">
        <v>283</v>
      </c>
      <c r="C59" s="62" t="s">
        <v>347</v>
      </c>
      <c r="D59" s="61" t="s">
        <v>337</v>
      </c>
      <c r="E59" s="63">
        <v>6000</v>
      </c>
    </row>
    <row r="60" spans="1:5" x14ac:dyDescent="0.3">
      <c r="A60" s="78" t="s">
        <v>96</v>
      </c>
      <c r="B60" s="61" t="s">
        <v>280</v>
      </c>
      <c r="C60" s="62" t="s">
        <v>115</v>
      </c>
      <c r="D60" s="61" t="s">
        <v>116</v>
      </c>
      <c r="E60" s="63">
        <v>4000</v>
      </c>
    </row>
    <row r="61" spans="1:5" x14ac:dyDescent="0.3">
      <c r="A61" s="78" t="s">
        <v>96</v>
      </c>
      <c r="B61" s="61" t="s">
        <v>276</v>
      </c>
      <c r="C61" s="62" t="s">
        <v>352</v>
      </c>
      <c r="D61" s="61" t="s">
        <v>100</v>
      </c>
      <c r="E61" s="63">
        <v>4000</v>
      </c>
    </row>
    <row r="62" spans="1:5" x14ac:dyDescent="0.3">
      <c r="A62" s="78" t="s">
        <v>96</v>
      </c>
      <c r="B62" s="61" t="s">
        <v>276</v>
      </c>
      <c r="C62" s="62" t="s">
        <v>353</v>
      </c>
      <c r="D62" s="61" t="s">
        <v>38</v>
      </c>
      <c r="E62" s="63">
        <v>7500</v>
      </c>
    </row>
    <row r="63" spans="1:5" x14ac:dyDescent="0.3">
      <c r="A63" s="78" t="s">
        <v>96</v>
      </c>
      <c r="B63" s="61" t="s">
        <v>276</v>
      </c>
      <c r="C63" s="62" t="s">
        <v>348</v>
      </c>
      <c r="D63" s="61" t="s">
        <v>75</v>
      </c>
      <c r="E63" s="63">
        <v>14000</v>
      </c>
    </row>
    <row r="64" spans="1:5" ht="57.6" x14ac:dyDescent="0.3">
      <c r="A64" s="79" t="s">
        <v>96</v>
      </c>
      <c r="B64" s="64" t="s">
        <v>276</v>
      </c>
      <c r="C64" s="65" t="s">
        <v>333</v>
      </c>
      <c r="D64" s="64" t="s">
        <v>75</v>
      </c>
      <c r="E64" s="66">
        <v>17000</v>
      </c>
    </row>
    <row r="65" spans="1:5" ht="57.6" x14ac:dyDescent="0.3">
      <c r="A65" s="79" t="s">
        <v>96</v>
      </c>
      <c r="B65" s="64" t="s">
        <v>276</v>
      </c>
      <c r="C65" s="65" t="s">
        <v>332</v>
      </c>
      <c r="D65" s="64" t="s">
        <v>106</v>
      </c>
      <c r="E65" s="66">
        <v>32000</v>
      </c>
    </row>
    <row r="66" spans="1:5" x14ac:dyDescent="0.3">
      <c r="A66" s="78" t="s">
        <v>96</v>
      </c>
      <c r="B66" s="61" t="s">
        <v>280</v>
      </c>
      <c r="C66" s="62" t="s">
        <v>117</v>
      </c>
      <c r="D66" s="61" t="s">
        <v>59</v>
      </c>
      <c r="E66" s="63">
        <v>6000</v>
      </c>
    </row>
    <row r="67" spans="1:5" x14ac:dyDescent="0.3">
      <c r="A67" s="78" t="s">
        <v>96</v>
      </c>
      <c r="B67" s="61" t="s">
        <v>280</v>
      </c>
      <c r="C67" s="62" t="s">
        <v>117</v>
      </c>
      <c r="D67" s="61" t="s">
        <v>60</v>
      </c>
      <c r="E67" s="63">
        <v>3000</v>
      </c>
    </row>
    <row r="68" spans="1:5" ht="28.8" x14ac:dyDescent="0.3">
      <c r="A68" s="79" t="s">
        <v>96</v>
      </c>
      <c r="B68" s="64" t="s">
        <v>276</v>
      </c>
      <c r="C68" s="65" t="s">
        <v>315</v>
      </c>
      <c r="D68" s="64" t="s">
        <v>295</v>
      </c>
      <c r="E68" s="66">
        <v>25000</v>
      </c>
    </row>
    <row r="69" spans="1:5" x14ac:dyDescent="0.3">
      <c r="A69" s="78" t="s">
        <v>96</v>
      </c>
      <c r="B69" s="61" t="s">
        <v>280</v>
      </c>
      <c r="C69" s="62" t="s">
        <v>166</v>
      </c>
      <c r="D69" s="61" t="s">
        <v>119</v>
      </c>
      <c r="E69" s="63">
        <v>6500</v>
      </c>
    </row>
    <row r="70" spans="1:5" x14ac:dyDescent="0.3">
      <c r="A70" s="78" t="s">
        <v>96</v>
      </c>
      <c r="B70" s="61" t="s">
        <v>280</v>
      </c>
      <c r="C70" s="62" t="s">
        <v>166</v>
      </c>
      <c r="D70" s="61" t="s">
        <v>120</v>
      </c>
      <c r="E70" s="63">
        <v>3500</v>
      </c>
    </row>
    <row r="71" spans="1:5" x14ac:dyDescent="0.3">
      <c r="A71" s="78" t="s">
        <v>96</v>
      </c>
      <c r="B71" s="61" t="s">
        <v>280</v>
      </c>
      <c r="C71" s="62" t="s">
        <v>316</v>
      </c>
      <c r="D71" s="61" t="s">
        <v>119</v>
      </c>
      <c r="E71" s="63">
        <v>6000</v>
      </c>
    </row>
    <row r="72" spans="1:5" x14ac:dyDescent="0.3">
      <c r="A72" s="78" t="s">
        <v>96</v>
      </c>
      <c r="B72" s="61" t="s">
        <v>280</v>
      </c>
      <c r="C72" s="62" t="s">
        <v>316</v>
      </c>
      <c r="D72" s="61" t="s">
        <v>120</v>
      </c>
      <c r="E72" s="63">
        <v>3000</v>
      </c>
    </row>
    <row r="73" spans="1:5" x14ac:dyDescent="0.3">
      <c r="A73" s="78" t="s">
        <v>96</v>
      </c>
      <c r="B73" s="61" t="s">
        <v>284</v>
      </c>
      <c r="C73" s="62" t="s">
        <v>345</v>
      </c>
      <c r="D73" s="61" t="s">
        <v>113</v>
      </c>
      <c r="E73" s="63">
        <v>18000</v>
      </c>
    </row>
    <row r="74" spans="1:5" x14ac:dyDescent="0.3">
      <c r="A74" s="78" t="s">
        <v>96</v>
      </c>
      <c r="B74" s="61" t="s">
        <v>284</v>
      </c>
      <c r="C74" s="62" t="s">
        <v>364</v>
      </c>
      <c r="D74" s="61" t="s">
        <v>114</v>
      </c>
      <c r="E74" s="63">
        <v>9000</v>
      </c>
    </row>
    <row r="75" spans="1:5" s="54" customFormat="1" x14ac:dyDescent="0.3">
      <c r="A75" s="78" t="s">
        <v>96</v>
      </c>
      <c r="B75" s="61" t="s">
        <v>279</v>
      </c>
      <c r="C75" s="62" t="s">
        <v>349</v>
      </c>
      <c r="D75" s="61" t="s">
        <v>21</v>
      </c>
      <c r="E75" s="63">
        <v>5000</v>
      </c>
    </row>
    <row r="76" spans="1:5" x14ac:dyDescent="0.3">
      <c r="A76" s="78" t="s">
        <v>96</v>
      </c>
      <c r="B76" s="61" t="s">
        <v>279</v>
      </c>
      <c r="C76" s="62" t="s">
        <v>350</v>
      </c>
      <c r="D76" s="61" t="s">
        <v>15</v>
      </c>
      <c r="E76" s="63">
        <v>10000</v>
      </c>
    </row>
    <row r="77" spans="1:5" x14ac:dyDescent="0.3">
      <c r="A77" s="78" t="s">
        <v>96</v>
      </c>
      <c r="B77" s="61" t="s">
        <v>279</v>
      </c>
      <c r="C77" s="62" t="s">
        <v>354</v>
      </c>
      <c r="D77" s="61" t="s">
        <v>110</v>
      </c>
      <c r="E77" s="63">
        <v>5000</v>
      </c>
    </row>
    <row r="78" spans="1:5" x14ac:dyDescent="0.3">
      <c r="A78" s="78" t="s">
        <v>96</v>
      </c>
      <c r="B78" s="61" t="s">
        <v>279</v>
      </c>
      <c r="C78" s="62" t="s">
        <v>342</v>
      </c>
      <c r="D78" s="61" t="s">
        <v>15</v>
      </c>
      <c r="E78" s="63">
        <v>10000</v>
      </c>
    </row>
    <row r="79" spans="1:5" x14ac:dyDescent="0.3">
      <c r="A79" s="78" t="s">
        <v>96</v>
      </c>
      <c r="B79" s="61" t="s">
        <v>279</v>
      </c>
      <c r="C79" s="62" t="s">
        <v>331</v>
      </c>
      <c r="D79" s="61" t="s">
        <v>15</v>
      </c>
      <c r="E79" s="63">
        <v>8000</v>
      </c>
    </row>
    <row r="80" spans="1:5" x14ac:dyDescent="0.3">
      <c r="A80" s="78" t="s">
        <v>96</v>
      </c>
      <c r="B80" s="61" t="s">
        <v>279</v>
      </c>
      <c r="C80" s="62" t="s">
        <v>351</v>
      </c>
      <c r="D80" s="61" t="s">
        <v>21</v>
      </c>
      <c r="E80" s="63">
        <v>4000</v>
      </c>
    </row>
    <row r="81" spans="1:5" ht="13.2" customHeight="1" x14ac:dyDescent="0.3">
      <c r="A81" s="78" t="s">
        <v>96</v>
      </c>
      <c r="B81" s="61" t="s">
        <v>279</v>
      </c>
      <c r="C81" s="62" t="s">
        <v>126</v>
      </c>
      <c r="D81" s="61" t="s">
        <v>21</v>
      </c>
      <c r="E81" s="63">
        <v>4000</v>
      </c>
    </row>
    <row r="82" spans="1:5" x14ac:dyDescent="0.3">
      <c r="A82" s="78" t="s">
        <v>96</v>
      </c>
      <c r="B82" s="61" t="s">
        <v>294</v>
      </c>
      <c r="C82" s="62" t="s">
        <v>129</v>
      </c>
      <c r="D82" s="61" t="s">
        <v>81</v>
      </c>
      <c r="E82" s="63">
        <v>5000</v>
      </c>
    </row>
    <row r="83" spans="1:5" x14ac:dyDescent="0.3">
      <c r="A83" s="78" t="s">
        <v>96</v>
      </c>
      <c r="B83" s="61" t="s">
        <v>297</v>
      </c>
      <c r="C83" s="62" t="s">
        <v>317</v>
      </c>
      <c r="D83" s="61" t="s">
        <v>298</v>
      </c>
      <c r="E83" s="63">
        <v>60000</v>
      </c>
    </row>
    <row r="84" spans="1:5" x14ac:dyDescent="0.3">
      <c r="A84" s="78" t="s">
        <v>96</v>
      </c>
      <c r="B84" s="61" t="s">
        <v>297</v>
      </c>
      <c r="C84" s="62" t="s">
        <v>318</v>
      </c>
      <c r="D84" s="61" t="s">
        <v>298</v>
      </c>
      <c r="E84" s="63">
        <v>40000</v>
      </c>
    </row>
    <row r="85" spans="1:5" x14ac:dyDescent="0.3">
      <c r="A85" s="78" t="s">
        <v>96</v>
      </c>
      <c r="B85" s="61" t="s">
        <v>292</v>
      </c>
      <c r="C85" s="62" t="s">
        <v>324</v>
      </c>
      <c r="D85" s="61" t="s">
        <v>116</v>
      </c>
      <c r="E85" s="63">
        <v>40000</v>
      </c>
    </row>
    <row r="86" spans="1:5" x14ac:dyDescent="0.3">
      <c r="A86" s="78" t="s">
        <v>96</v>
      </c>
      <c r="B86" s="61" t="s">
        <v>292</v>
      </c>
      <c r="C86" s="62" t="s">
        <v>356</v>
      </c>
      <c r="D86" s="61" t="s">
        <v>116</v>
      </c>
      <c r="E86" s="63">
        <v>25000</v>
      </c>
    </row>
    <row r="87" spans="1:5" x14ac:dyDescent="0.3">
      <c r="A87" s="78" t="s">
        <v>96</v>
      </c>
      <c r="B87" s="61" t="s">
        <v>292</v>
      </c>
      <c r="C87" s="62" t="s">
        <v>355</v>
      </c>
      <c r="D87" s="61" t="s">
        <v>116</v>
      </c>
      <c r="E87" s="63">
        <v>25000</v>
      </c>
    </row>
    <row r="88" spans="1:5" x14ac:dyDescent="0.3">
      <c r="A88" s="78" t="s">
        <v>164</v>
      </c>
      <c r="B88" s="61" t="s">
        <v>280</v>
      </c>
      <c r="C88" s="62" t="s">
        <v>166</v>
      </c>
      <c r="D88" s="61" t="s">
        <v>120</v>
      </c>
      <c r="E88" s="63">
        <v>3000</v>
      </c>
    </row>
    <row r="89" spans="1:5" x14ac:dyDescent="0.3">
      <c r="A89" s="78" t="s">
        <v>164</v>
      </c>
      <c r="B89" s="61" t="s">
        <v>280</v>
      </c>
      <c r="C89" s="62" t="s">
        <v>166</v>
      </c>
      <c r="D89" s="61" t="s">
        <v>119</v>
      </c>
      <c r="E89" s="63">
        <v>6000</v>
      </c>
    </row>
    <row r="90" spans="1:5" x14ac:dyDescent="0.3">
      <c r="A90" s="78" t="s">
        <v>164</v>
      </c>
      <c r="B90" s="61" t="s">
        <v>294</v>
      </c>
      <c r="C90" s="62" t="s">
        <v>165</v>
      </c>
      <c r="D90" s="61" t="s">
        <v>81</v>
      </c>
      <c r="E90" s="63">
        <v>3000</v>
      </c>
    </row>
    <row r="91" spans="1:5" x14ac:dyDescent="0.3">
      <c r="A91" s="78" t="s">
        <v>164</v>
      </c>
      <c r="B91" s="61" t="s">
        <v>294</v>
      </c>
      <c r="C91" s="62" t="s">
        <v>165</v>
      </c>
      <c r="D91" s="61" t="s">
        <v>116</v>
      </c>
      <c r="E91" s="63">
        <v>1500</v>
      </c>
    </row>
    <row r="92" spans="1:5" x14ac:dyDescent="0.3">
      <c r="A92" s="78" t="s">
        <v>169</v>
      </c>
      <c r="B92" s="61" t="s">
        <v>274</v>
      </c>
      <c r="C92" s="62" t="s">
        <v>182</v>
      </c>
      <c r="D92" s="61" t="s">
        <v>183</v>
      </c>
      <c r="E92" s="63">
        <v>2600</v>
      </c>
    </row>
    <row r="93" spans="1:5" x14ac:dyDescent="0.3">
      <c r="A93" s="78" t="s">
        <v>169</v>
      </c>
      <c r="B93" s="61" t="s">
        <v>280</v>
      </c>
      <c r="C93" s="62" t="s">
        <v>217</v>
      </c>
      <c r="D93" s="61" t="s">
        <v>172</v>
      </c>
      <c r="E93" s="63">
        <v>3000</v>
      </c>
    </row>
    <row r="94" spans="1:5" x14ac:dyDescent="0.3">
      <c r="A94" s="78" t="s">
        <v>169</v>
      </c>
      <c r="B94" s="61" t="s">
        <v>276</v>
      </c>
      <c r="C94" s="62" t="s">
        <v>319</v>
      </c>
      <c r="D94" s="61" t="s">
        <v>172</v>
      </c>
      <c r="E94" s="63">
        <v>2000</v>
      </c>
    </row>
    <row r="95" spans="1:5" x14ac:dyDescent="0.3">
      <c r="A95" s="78" t="s">
        <v>169</v>
      </c>
      <c r="B95" s="61" t="s">
        <v>285</v>
      </c>
      <c r="C95" s="62" t="s">
        <v>326</v>
      </c>
      <c r="D95" s="61" t="s">
        <v>34</v>
      </c>
      <c r="E95" s="63">
        <v>2000</v>
      </c>
    </row>
    <row r="96" spans="1:5" x14ac:dyDescent="0.3">
      <c r="A96" s="78" t="s">
        <v>169</v>
      </c>
      <c r="B96" s="61" t="s">
        <v>285</v>
      </c>
      <c r="C96" s="62" t="s">
        <v>327</v>
      </c>
      <c r="D96" s="61" t="s">
        <v>183</v>
      </c>
      <c r="E96" s="63">
        <v>2300</v>
      </c>
    </row>
    <row r="97" spans="1:5" x14ac:dyDescent="0.3">
      <c r="A97" s="78" t="s">
        <v>169</v>
      </c>
      <c r="B97" s="61" t="s">
        <v>285</v>
      </c>
      <c r="C97" s="62" t="s">
        <v>363</v>
      </c>
      <c r="D97" s="61" t="s">
        <v>183</v>
      </c>
      <c r="E97" s="63">
        <v>2300</v>
      </c>
    </row>
    <row r="98" spans="1:5" x14ac:dyDescent="0.3">
      <c r="A98" s="78" t="s">
        <v>169</v>
      </c>
      <c r="B98" s="61" t="s">
        <v>285</v>
      </c>
      <c r="C98" s="62" t="s">
        <v>328</v>
      </c>
      <c r="D98" s="61" t="s">
        <v>34</v>
      </c>
      <c r="E98" s="63">
        <v>2300</v>
      </c>
    </row>
    <row r="99" spans="1:5" x14ac:dyDescent="0.3">
      <c r="A99" s="78" t="s">
        <v>169</v>
      </c>
      <c r="B99" s="61" t="s">
        <v>292</v>
      </c>
      <c r="C99" s="62" t="s">
        <v>293</v>
      </c>
      <c r="D99" s="61" t="s">
        <v>116</v>
      </c>
      <c r="E99" s="63">
        <v>30000</v>
      </c>
    </row>
    <row r="100" spans="1:5" x14ac:dyDescent="0.3">
      <c r="A100" s="78" t="s">
        <v>169</v>
      </c>
      <c r="B100" s="61" t="s">
        <v>292</v>
      </c>
      <c r="C100" s="62" t="s">
        <v>293</v>
      </c>
      <c r="D100" s="61" t="s">
        <v>195</v>
      </c>
      <c r="E100" s="63">
        <v>15000</v>
      </c>
    </row>
    <row r="101" spans="1:5" x14ac:dyDescent="0.3">
      <c r="A101" s="78" t="s">
        <v>169</v>
      </c>
      <c r="B101" s="61" t="s">
        <v>274</v>
      </c>
      <c r="C101" s="62" t="s">
        <v>218</v>
      </c>
      <c r="D101" s="61" t="s">
        <v>172</v>
      </c>
      <c r="E101" s="63">
        <v>1900</v>
      </c>
    </row>
    <row r="102" spans="1:5" x14ac:dyDescent="0.3">
      <c r="A102" s="78" t="s">
        <v>169</v>
      </c>
      <c r="B102" s="61" t="s">
        <v>274</v>
      </c>
      <c r="C102" s="62" t="s">
        <v>173</v>
      </c>
      <c r="D102" s="61" t="s">
        <v>34</v>
      </c>
      <c r="E102" s="63">
        <v>1600</v>
      </c>
    </row>
    <row r="103" spans="1:5" x14ac:dyDescent="0.3">
      <c r="A103" s="78" t="s">
        <v>169</v>
      </c>
      <c r="B103" s="61" t="s">
        <v>274</v>
      </c>
      <c r="C103" s="62" t="s">
        <v>173</v>
      </c>
      <c r="D103" s="61" t="s">
        <v>174</v>
      </c>
      <c r="E103" s="63">
        <v>1000</v>
      </c>
    </row>
    <row r="104" spans="1:5" x14ac:dyDescent="0.3">
      <c r="A104" s="78" t="s">
        <v>169</v>
      </c>
      <c r="B104" s="61" t="s">
        <v>291</v>
      </c>
      <c r="C104" s="62" t="s">
        <v>178</v>
      </c>
      <c r="D104" s="61" t="s">
        <v>179</v>
      </c>
      <c r="E104" s="63">
        <v>3000</v>
      </c>
    </row>
    <row r="105" spans="1:5" x14ac:dyDescent="0.3">
      <c r="A105" s="78" t="s">
        <v>169</v>
      </c>
      <c r="B105" s="61" t="s">
        <v>281</v>
      </c>
      <c r="C105" s="62" t="s">
        <v>190</v>
      </c>
      <c r="D105" s="61" t="s">
        <v>191</v>
      </c>
      <c r="E105" s="63">
        <v>5000</v>
      </c>
    </row>
    <row r="106" spans="1:5" x14ac:dyDescent="0.3">
      <c r="A106" s="78" t="s">
        <v>169</v>
      </c>
      <c r="B106" s="61" t="s">
        <v>281</v>
      </c>
      <c r="C106" s="62" t="s">
        <v>197</v>
      </c>
      <c r="D106" s="61" t="s">
        <v>116</v>
      </c>
      <c r="E106" s="63">
        <v>3000</v>
      </c>
    </row>
    <row r="107" spans="1:5" x14ac:dyDescent="0.3">
      <c r="A107" s="78" t="s">
        <v>169</v>
      </c>
      <c r="B107" s="61" t="s">
        <v>281</v>
      </c>
      <c r="C107" s="62" t="s">
        <v>186</v>
      </c>
      <c r="D107" s="61" t="s">
        <v>187</v>
      </c>
      <c r="E107" s="63">
        <v>2600</v>
      </c>
    </row>
    <row r="108" spans="1:5" x14ac:dyDescent="0.3">
      <c r="A108" s="78" t="s">
        <v>169</v>
      </c>
      <c r="B108" s="61" t="s">
        <v>282</v>
      </c>
      <c r="C108" s="62" t="s">
        <v>320</v>
      </c>
      <c r="D108" s="61" t="s">
        <v>176</v>
      </c>
      <c r="E108" s="63">
        <v>27000</v>
      </c>
    </row>
    <row r="109" spans="1:5" x14ac:dyDescent="0.3">
      <c r="A109" s="78" t="s">
        <v>169</v>
      </c>
      <c r="B109" s="61" t="s">
        <v>282</v>
      </c>
      <c r="C109" s="62" t="s">
        <v>321</v>
      </c>
      <c r="D109" s="61" t="s">
        <v>176</v>
      </c>
      <c r="E109" s="63">
        <v>18000</v>
      </c>
    </row>
    <row r="110" spans="1:5" x14ac:dyDescent="0.3">
      <c r="A110" s="78" t="s">
        <v>169</v>
      </c>
      <c r="B110" s="61" t="s">
        <v>274</v>
      </c>
      <c r="C110" s="62" t="s">
        <v>171</v>
      </c>
      <c r="D110" s="61" t="s">
        <v>172</v>
      </c>
      <c r="E110" s="63">
        <v>2800</v>
      </c>
    </row>
    <row r="111" spans="1:5" x14ac:dyDescent="0.3">
      <c r="A111" s="78" t="s">
        <v>169</v>
      </c>
      <c r="B111" s="61" t="s">
        <v>280</v>
      </c>
      <c r="C111" s="62" t="s">
        <v>322</v>
      </c>
      <c r="D111" s="61" t="s">
        <v>216</v>
      </c>
      <c r="E111" s="63">
        <v>2900</v>
      </c>
    </row>
    <row r="112" spans="1:5" x14ac:dyDescent="0.3">
      <c r="A112" s="78" t="s">
        <v>169</v>
      </c>
      <c r="B112" s="61" t="s">
        <v>280</v>
      </c>
      <c r="C112" s="62" t="s">
        <v>196</v>
      </c>
      <c r="D112" s="61" t="s">
        <v>59</v>
      </c>
      <c r="E112" s="63">
        <v>3000</v>
      </c>
    </row>
    <row r="113" spans="1:5" x14ac:dyDescent="0.3">
      <c r="A113" s="78" t="s">
        <v>169</v>
      </c>
      <c r="B113" s="61" t="s">
        <v>280</v>
      </c>
      <c r="C113" s="62" t="s">
        <v>196</v>
      </c>
      <c r="D113" s="61" t="s">
        <v>60</v>
      </c>
      <c r="E113" s="63">
        <v>1500</v>
      </c>
    </row>
    <row r="114" spans="1:5" x14ac:dyDescent="0.3">
      <c r="A114" s="78" t="s">
        <v>169</v>
      </c>
      <c r="B114" s="61" t="s">
        <v>280</v>
      </c>
      <c r="C114" s="62" t="s">
        <v>170</v>
      </c>
      <c r="D114" s="61" t="s">
        <v>216</v>
      </c>
      <c r="E114" s="63">
        <v>3600</v>
      </c>
    </row>
    <row r="115" spans="1:5" x14ac:dyDescent="0.3">
      <c r="A115" s="78" t="s">
        <v>169</v>
      </c>
      <c r="B115" s="61" t="s">
        <v>280</v>
      </c>
      <c r="C115" s="62" t="s">
        <v>170</v>
      </c>
      <c r="D115" s="61" t="s">
        <v>60</v>
      </c>
      <c r="E115" s="63">
        <v>1950</v>
      </c>
    </row>
    <row r="116" spans="1:5" x14ac:dyDescent="0.3">
      <c r="A116" s="78" t="s">
        <v>169</v>
      </c>
      <c r="B116" s="61" t="s">
        <v>274</v>
      </c>
      <c r="C116" s="62" t="s">
        <v>180</v>
      </c>
      <c r="D116" s="61" t="s">
        <v>181</v>
      </c>
      <c r="E116" s="63">
        <v>2800</v>
      </c>
    </row>
    <row r="117" spans="1:5" x14ac:dyDescent="0.3">
      <c r="A117" s="78" t="s">
        <v>169</v>
      </c>
      <c r="B117" s="61" t="s">
        <v>291</v>
      </c>
      <c r="C117" s="62" t="s">
        <v>192</v>
      </c>
      <c r="D117" s="61" t="s">
        <v>330</v>
      </c>
      <c r="E117" s="63">
        <v>2500</v>
      </c>
    </row>
    <row r="118" spans="1:5" x14ac:dyDescent="0.3">
      <c r="A118" s="78" t="s">
        <v>169</v>
      </c>
      <c r="B118" s="61" t="s">
        <v>280</v>
      </c>
      <c r="C118" s="62" t="s">
        <v>323</v>
      </c>
      <c r="D118" s="61" t="s">
        <v>189</v>
      </c>
      <c r="E118" s="63">
        <v>3500</v>
      </c>
    </row>
    <row r="119" spans="1:5" x14ac:dyDescent="0.3">
      <c r="A119" s="78" t="s">
        <v>169</v>
      </c>
      <c r="B119" s="61" t="s">
        <v>284</v>
      </c>
      <c r="C119" s="62" t="s">
        <v>272</v>
      </c>
      <c r="D119" s="61" t="s">
        <v>271</v>
      </c>
      <c r="E119" s="63">
        <v>6000</v>
      </c>
    </row>
    <row r="120" spans="1:5" x14ac:dyDescent="0.3">
      <c r="A120" s="78" t="s">
        <v>169</v>
      </c>
      <c r="B120" s="61" t="s">
        <v>284</v>
      </c>
      <c r="C120" s="62" t="s">
        <v>336</v>
      </c>
      <c r="D120" s="61" t="s">
        <v>271</v>
      </c>
      <c r="E120" s="63">
        <v>6000</v>
      </c>
    </row>
    <row r="121" spans="1:5" x14ac:dyDescent="0.3">
      <c r="A121" s="78" t="s">
        <v>169</v>
      </c>
      <c r="B121" s="61" t="s">
        <v>280</v>
      </c>
      <c r="C121" s="62" t="s">
        <v>322</v>
      </c>
      <c r="D121" s="61" t="s">
        <v>277</v>
      </c>
      <c r="E121" s="63">
        <v>1450</v>
      </c>
    </row>
    <row r="122" spans="1:5" x14ac:dyDescent="0.3">
      <c r="A122" s="78" t="s">
        <v>169</v>
      </c>
      <c r="B122" s="61" t="s">
        <v>288</v>
      </c>
      <c r="C122" s="62" t="s">
        <v>278</v>
      </c>
      <c r="D122" s="61" t="s">
        <v>172</v>
      </c>
      <c r="E122" s="63">
        <v>8000</v>
      </c>
    </row>
    <row r="123" spans="1:5" x14ac:dyDescent="0.3">
      <c r="A123" s="80" t="s">
        <v>169</v>
      </c>
      <c r="B123" s="61" t="s">
        <v>297</v>
      </c>
      <c r="C123" s="67" t="s">
        <v>296</v>
      </c>
      <c r="D123" s="68" t="s">
        <v>32</v>
      </c>
      <c r="E123" s="69">
        <v>6000</v>
      </c>
    </row>
    <row r="124" spans="1:5" x14ac:dyDescent="0.3">
      <c r="A124" s="56" t="s">
        <v>169</v>
      </c>
      <c r="B124" s="68" t="s">
        <v>297</v>
      </c>
      <c r="C124" s="70" t="s">
        <v>299</v>
      </c>
      <c r="D124" s="71" t="s">
        <v>329</v>
      </c>
      <c r="E124" s="72">
        <v>50000</v>
      </c>
    </row>
    <row r="125" spans="1:5" ht="28.8" x14ac:dyDescent="0.3">
      <c r="A125" s="57" t="s">
        <v>169</v>
      </c>
      <c r="B125" s="73" t="s">
        <v>285</v>
      </c>
      <c r="C125" s="74" t="s">
        <v>362</v>
      </c>
      <c r="D125" s="73" t="s">
        <v>357</v>
      </c>
      <c r="E125" s="75">
        <v>4500</v>
      </c>
    </row>
    <row r="126" spans="1:5" x14ac:dyDescent="0.3">
      <c r="A126" s="57" t="s">
        <v>169</v>
      </c>
      <c r="B126" s="73" t="s">
        <v>285</v>
      </c>
      <c r="C126" s="74" t="s">
        <v>359</v>
      </c>
      <c r="D126" s="73" t="s">
        <v>358</v>
      </c>
      <c r="E126" s="75">
        <v>3500</v>
      </c>
    </row>
    <row r="127" spans="1:5" x14ac:dyDescent="0.3">
      <c r="A127" s="57" t="s">
        <v>169</v>
      </c>
      <c r="B127" s="73" t="s">
        <v>285</v>
      </c>
      <c r="C127" s="74" t="s">
        <v>360</v>
      </c>
      <c r="D127" s="73" t="s">
        <v>358</v>
      </c>
      <c r="E127" s="75">
        <v>3500</v>
      </c>
    </row>
    <row r="128" spans="1:5" x14ac:dyDescent="0.3">
      <c r="A128" s="57" t="s">
        <v>169</v>
      </c>
      <c r="B128" s="73" t="s">
        <v>279</v>
      </c>
      <c r="C128" s="74" t="s">
        <v>361</v>
      </c>
      <c r="D128" s="73" t="s">
        <v>357</v>
      </c>
      <c r="E128" s="75">
        <v>8000</v>
      </c>
    </row>
    <row r="129" spans="3:3" x14ac:dyDescent="0.3">
      <c r="C129" s="76"/>
    </row>
    <row r="130" spans="3:3" x14ac:dyDescent="0.3">
      <c r="C130" s="76"/>
    </row>
    <row r="131" spans="3:3" x14ac:dyDescent="0.3">
      <c r="C131" s="76"/>
    </row>
    <row r="132" spans="3:3" x14ac:dyDescent="0.3">
      <c r="C132" s="76"/>
    </row>
    <row r="133" spans="3:3" x14ac:dyDescent="0.3">
      <c r="C133" s="76"/>
    </row>
    <row r="134" spans="3:3" x14ac:dyDescent="0.3">
      <c r="C134" s="76"/>
    </row>
    <row r="135" spans="3:3" x14ac:dyDescent="0.3">
      <c r="C135" s="76"/>
    </row>
    <row r="136" spans="3:3" x14ac:dyDescent="0.3">
      <c r="C136" s="76"/>
    </row>
  </sheetData>
  <sortState xmlns:xlrd2="http://schemas.microsoft.com/office/spreadsheetml/2017/richdata2" ref="A2:E115">
    <sortCondition ref="C1"/>
  </sortState>
  <phoneticPr fontId="12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ANCUYA</vt:lpstr>
      <vt:lpstr>CONSACA</vt:lpstr>
      <vt:lpstr>GUALMATAN</vt:lpstr>
      <vt:lpstr>LA FLORIDA</vt:lpstr>
      <vt:lpstr>SANDONA</vt:lpstr>
      <vt:lpstr>YACUANQUER</vt:lpstr>
      <vt:lpstr>CONSOLIDADO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</dc:creator>
  <cp:lastModifiedBy>Alejandro</cp:lastModifiedBy>
  <cp:lastPrinted>2026-02-06T20:33:06Z</cp:lastPrinted>
  <dcterms:created xsi:type="dcterms:W3CDTF">2025-09-15T16:08:07Z</dcterms:created>
  <dcterms:modified xsi:type="dcterms:W3CDTF">2026-03-31T05:28:52Z</dcterms:modified>
</cp:coreProperties>
</file>