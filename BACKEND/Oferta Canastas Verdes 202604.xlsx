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54864C92-F1DC-4D71-B307-2699ECD43A19}" xr6:coauthVersionLast="47" xr6:coauthVersionMax="47" xr10:uidLastSave="{00000000-0000-0000-0000-000000000000}"/>
  <bookViews>
    <workbookView xWindow="20370" yWindow="-120" windowWidth="29040" windowHeight="15720" firstSheet="6" activeTab="6" xr2:uid="{7E22A4D9-84D7-4331-BBBE-90C477508CF3}"/>
  </bookViews>
  <sheets>
    <sheet name="ANCUYA" sheetId="1" state="hidden" r:id="rId1"/>
    <sheet name="CONSACA" sheetId="2" state="hidden" r:id="rId2"/>
    <sheet name="GUALMATAN" sheetId="3" state="hidden" r:id="rId3"/>
    <sheet name="LA FLORIDA" sheetId="4" state="hidden" r:id="rId4"/>
    <sheet name="SANDONA" sheetId="5" state="hidden" r:id="rId5"/>
    <sheet name="YACUANQUER" sheetId="6" state="hidden" r:id="rId6"/>
    <sheet name="CONSOLIDADO" sheetId="7" r:id="rId7"/>
  </sheets>
  <definedNames>
    <definedName name="_xlnm._FilterDatabase" localSheetId="6" hidden="1">CONSOLIDADO!$B$1:$K$128</definedName>
    <definedName name="_xlnm._FilterDatabase" localSheetId="2" hidden="1">GUALMATAN!$A$1:$I$15</definedName>
    <definedName name="_xlnm._FilterDatabase" localSheetId="3" hidden="1">'LA FLORIDA'!$A$1:$H$43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7" l="1"/>
  <c r="I20" i="7"/>
  <c r="H20" i="7"/>
  <c r="I116" i="7"/>
  <c r="H116" i="7"/>
  <c r="H115" i="7"/>
  <c r="I115" i="7"/>
  <c r="I114" i="7"/>
  <c r="H114" i="7"/>
  <c r="I110" i="7"/>
  <c r="H110" i="7"/>
  <c r="I107" i="7"/>
  <c r="H107" i="7"/>
  <c r="I103" i="7"/>
  <c r="H103" i="7"/>
  <c r="I101" i="7"/>
  <c r="H101" i="7"/>
  <c r="H89" i="7"/>
  <c r="I89" i="7"/>
  <c r="I88" i="7"/>
  <c r="H88" i="7"/>
  <c r="H70" i="7"/>
  <c r="J70" i="7" s="1"/>
  <c r="I70" i="7"/>
  <c r="I69" i="7"/>
  <c r="H69" i="7"/>
  <c r="J69" i="7" s="1"/>
  <c r="J116" i="7" l="1"/>
  <c r="J114" i="7"/>
  <c r="J103" i="7"/>
  <c r="J110" i="7"/>
  <c r="J107" i="7"/>
  <c r="J115" i="7"/>
  <c r="J88" i="7"/>
  <c r="J101" i="7"/>
  <c r="J89" i="7"/>
  <c r="H127" i="7" l="1"/>
  <c r="I127" i="7"/>
  <c r="H128" i="7"/>
  <c r="I128" i="7"/>
  <c r="I126" i="7"/>
  <c r="H126" i="7"/>
  <c r="I125" i="7"/>
  <c r="H125" i="7"/>
  <c r="I87" i="7"/>
  <c r="H87" i="7"/>
  <c r="I86" i="7"/>
  <c r="H86" i="7"/>
  <c r="J125" i="7" l="1"/>
  <c r="J87" i="7"/>
  <c r="J126" i="7"/>
  <c r="J127" i="7"/>
  <c r="J128" i="7"/>
  <c r="J86" i="7"/>
  <c r="I122" i="7" l="1"/>
  <c r="H122" i="7"/>
  <c r="I121" i="7"/>
  <c r="H121" i="7"/>
  <c r="I85" i="7"/>
  <c r="H85" i="7"/>
  <c r="G44" i="4"/>
  <c r="I44" i="4" s="1"/>
  <c r="H44" i="4"/>
  <c r="G32" i="6"/>
  <c r="I32" i="6" s="1"/>
  <c r="H32" i="6"/>
  <c r="J122" i="7" l="1"/>
  <c r="J121" i="7"/>
  <c r="J85" i="7"/>
  <c r="H31" i="6"/>
  <c r="G31" i="6"/>
  <c r="I31" i="6" l="1"/>
  <c r="G30" i="6"/>
  <c r="H30" i="6"/>
  <c r="G29" i="6"/>
  <c r="I29" i="6" s="1"/>
  <c r="H29" i="6"/>
  <c r="H3" i="5"/>
  <c r="H4" i="5"/>
  <c r="H5" i="5"/>
  <c r="H2" i="5"/>
  <c r="G2" i="5"/>
  <c r="G3" i="5"/>
  <c r="I3" i="5" s="1"/>
  <c r="G4" i="5"/>
  <c r="I4" i="5" s="1"/>
  <c r="G5" i="5"/>
  <c r="I5" i="5" s="1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" i="6"/>
  <c r="G3" i="6"/>
  <c r="G4" i="6"/>
  <c r="G5" i="6"/>
  <c r="G6" i="6"/>
  <c r="I6" i="6" s="1"/>
  <c r="G7" i="6"/>
  <c r="G8" i="6"/>
  <c r="G9" i="6"/>
  <c r="G10" i="6"/>
  <c r="I10" i="6" s="1"/>
  <c r="G11" i="6"/>
  <c r="G12" i="6"/>
  <c r="G13" i="6"/>
  <c r="G14" i="6"/>
  <c r="I14" i="6" s="1"/>
  <c r="G15" i="6"/>
  <c r="G16" i="6"/>
  <c r="G17" i="6"/>
  <c r="G18" i="6"/>
  <c r="I18" i="6" s="1"/>
  <c r="G19" i="6"/>
  <c r="G20" i="6"/>
  <c r="G21" i="6"/>
  <c r="G22" i="6"/>
  <c r="I22" i="6" s="1"/>
  <c r="G23" i="6"/>
  <c r="G24" i="6"/>
  <c r="G25" i="6"/>
  <c r="G26" i="6"/>
  <c r="I26" i="6" s="1"/>
  <c r="G27" i="6"/>
  <c r="G28" i="6"/>
  <c r="G2" i="6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I24" i="4" s="1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G7" i="4"/>
  <c r="I7" i="4" s="1"/>
  <c r="G8" i="4"/>
  <c r="I8" i="4" s="1"/>
  <c r="G9" i="4"/>
  <c r="I9" i="4" s="1"/>
  <c r="G10" i="4"/>
  <c r="G11" i="4"/>
  <c r="I11" i="4" s="1"/>
  <c r="G12" i="4"/>
  <c r="G13" i="4"/>
  <c r="I13" i="4" s="1"/>
  <c r="G14" i="4"/>
  <c r="G15" i="4"/>
  <c r="I15" i="4" s="1"/>
  <c r="G16" i="4"/>
  <c r="G17" i="4"/>
  <c r="I17" i="4" s="1"/>
  <c r="G18" i="4"/>
  <c r="G19" i="4"/>
  <c r="I19" i="4" s="1"/>
  <c r="G20" i="4"/>
  <c r="G21" i="4"/>
  <c r="I21" i="4" s="1"/>
  <c r="G22" i="4"/>
  <c r="G23" i="4"/>
  <c r="I23" i="4" s="1"/>
  <c r="G24" i="4"/>
  <c r="G25" i="4"/>
  <c r="I25" i="4" s="1"/>
  <c r="G26" i="4"/>
  <c r="G27" i="4"/>
  <c r="I27" i="4" s="1"/>
  <c r="G28" i="4"/>
  <c r="G29" i="4"/>
  <c r="I29" i="4" s="1"/>
  <c r="G30" i="4"/>
  <c r="G31" i="4"/>
  <c r="I31" i="4" s="1"/>
  <c r="G32" i="4"/>
  <c r="G33" i="4"/>
  <c r="I33" i="4" s="1"/>
  <c r="G34" i="4"/>
  <c r="G35" i="4"/>
  <c r="I35" i="4" s="1"/>
  <c r="G36" i="4"/>
  <c r="G37" i="4"/>
  <c r="I37" i="4" s="1"/>
  <c r="G38" i="4"/>
  <c r="G39" i="4"/>
  <c r="I39" i="4" s="1"/>
  <c r="G40" i="4"/>
  <c r="I40" i="4" s="1"/>
  <c r="G41" i="4"/>
  <c r="I41" i="4" s="1"/>
  <c r="G42" i="4"/>
  <c r="G43" i="4"/>
  <c r="I43" i="4" s="1"/>
  <c r="H3" i="4"/>
  <c r="H4" i="4"/>
  <c r="H5" i="4"/>
  <c r="H6" i="4"/>
  <c r="G3" i="4"/>
  <c r="I3" i="4" s="1"/>
  <c r="G4" i="4"/>
  <c r="I4" i="4" s="1"/>
  <c r="G5" i="4"/>
  <c r="I5" i="4" s="1"/>
  <c r="G6" i="4"/>
  <c r="I6" i="4" s="1"/>
  <c r="H2" i="4"/>
  <c r="G2" i="4"/>
  <c r="H5" i="2"/>
  <c r="G5" i="2"/>
  <c r="H4" i="2"/>
  <c r="G4" i="2"/>
  <c r="H3" i="2"/>
  <c r="G3" i="2"/>
  <c r="H2" i="2"/>
  <c r="G2" i="2"/>
  <c r="I15" i="3"/>
  <c r="H3" i="3"/>
  <c r="H4" i="3"/>
  <c r="H5" i="3"/>
  <c r="H6" i="3"/>
  <c r="I6" i="3" s="1"/>
  <c r="H7" i="3"/>
  <c r="H8" i="3"/>
  <c r="H9" i="3"/>
  <c r="H10" i="3"/>
  <c r="H11" i="3"/>
  <c r="H12" i="3"/>
  <c r="H13" i="3"/>
  <c r="H14" i="3"/>
  <c r="I14" i="3" s="1"/>
  <c r="H15" i="3"/>
  <c r="G3" i="3"/>
  <c r="G4" i="3"/>
  <c r="I4" i="3" s="1"/>
  <c r="G5" i="3"/>
  <c r="I5" i="3" s="1"/>
  <c r="G6" i="3"/>
  <c r="G7" i="3"/>
  <c r="I7" i="3" s="1"/>
  <c r="G8" i="3"/>
  <c r="I8" i="3" s="1"/>
  <c r="G9" i="3"/>
  <c r="I9" i="3" s="1"/>
  <c r="G10" i="3"/>
  <c r="G11" i="3"/>
  <c r="G12" i="3"/>
  <c r="I12" i="3" s="1"/>
  <c r="G13" i="3"/>
  <c r="I13" i="3" s="1"/>
  <c r="G14" i="3"/>
  <c r="G15" i="3"/>
  <c r="H2" i="3"/>
  <c r="G2" i="3"/>
  <c r="I2" i="3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I3" i="1" s="1"/>
  <c r="G4" i="1"/>
  <c r="G5" i="1"/>
  <c r="G6" i="1"/>
  <c r="I6" i="1" s="1"/>
  <c r="G7" i="1"/>
  <c r="I7" i="1" s="1"/>
  <c r="G8" i="1"/>
  <c r="G9" i="1"/>
  <c r="G10" i="1"/>
  <c r="I10" i="1" s="1"/>
  <c r="G11" i="1"/>
  <c r="I11" i="1" s="1"/>
  <c r="G12" i="1"/>
  <c r="G13" i="1"/>
  <c r="G14" i="1"/>
  <c r="I14" i="1" s="1"/>
  <c r="G15" i="1"/>
  <c r="I15" i="1" s="1"/>
  <c r="G16" i="1"/>
  <c r="G17" i="1"/>
  <c r="G18" i="1"/>
  <c r="I18" i="1" s="1"/>
  <c r="G19" i="1"/>
  <c r="I19" i="1" s="1"/>
  <c r="H2" i="1"/>
  <c r="G2" i="1"/>
  <c r="I2" i="6" l="1"/>
  <c r="I25" i="6"/>
  <c r="I21" i="6"/>
  <c r="I17" i="6"/>
  <c r="I13" i="6"/>
  <c r="I9" i="6"/>
  <c r="I5" i="6"/>
  <c r="I28" i="6"/>
  <c r="I24" i="6"/>
  <c r="I20" i="6"/>
  <c r="I16" i="6"/>
  <c r="I12" i="6"/>
  <c r="I8" i="6"/>
  <c r="I4" i="6"/>
  <c r="I27" i="6"/>
  <c r="I23" i="6"/>
  <c r="I19" i="6"/>
  <c r="I15" i="6"/>
  <c r="I11" i="6"/>
  <c r="I7" i="6"/>
  <c r="I3" i="6"/>
  <c r="I36" i="4"/>
  <c r="I32" i="4"/>
  <c r="I28" i="4"/>
  <c r="I20" i="4"/>
  <c r="I16" i="4"/>
  <c r="I12" i="4"/>
  <c r="I11" i="3"/>
  <c r="I3" i="3"/>
  <c r="I2" i="2"/>
  <c r="I3" i="2"/>
  <c r="I16" i="1"/>
  <c r="I12" i="1"/>
  <c r="I8" i="1"/>
  <c r="I4" i="1"/>
  <c r="I17" i="1"/>
  <c r="I13" i="1"/>
  <c r="I9" i="1"/>
  <c r="I5" i="1"/>
  <c r="I5" i="2"/>
  <c r="I10" i="3"/>
  <c r="I2" i="4"/>
  <c r="I42" i="4"/>
  <c r="I38" i="4"/>
  <c r="I34" i="4"/>
  <c r="I30" i="4"/>
  <c r="I26" i="4"/>
  <c r="I22" i="4"/>
  <c r="I18" i="4"/>
  <c r="I14" i="4"/>
  <c r="I10" i="4"/>
  <c r="I2" i="5"/>
  <c r="I30" i="6"/>
  <c r="I2" i="1"/>
</calcChain>
</file>

<file path=xl/sharedStrings.xml><?xml version="1.0" encoding="utf-8"?>
<sst xmlns="http://schemas.openxmlformats.org/spreadsheetml/2006/main" count="1273" uniqueCount="497">
  <si>
    <t>Código</t>
  </si>
  <si>
    <t>Municipio</t>
  </si>
  <si>
    <t>Producto</t>
  </si>
  <si>
    <t>Categoría</t>
  </si>
  <si>
    <t>Presentación</t>
  </si>
  <si>
    <t>Precio 2025</t>
  </si>
  <si>
    <t>Costo Pcc</t>
  </si>
  <si>
    <t>Ancuya</t>
  </si>
  <si>
    <t>Gelatina de pata</t>
  </si>
  <si>
    <t>Adicional</t>
  </si>
  <si>
    <t>Paquete 6 unidades</t>
  </si>
  <si>
    <t>Panela pulverizada</t>
  </si>
  <si>
    <t>Canasta Grande</t>
  </si>
  <si>
    <t>500gr</t>
  </si>
  <si>
    <t>Canasta Pequeña</t>
  </si>
  <si>
    <t>300gr</t>
  </si>
  <si>
    <t>Chips Arracacha</t>
  </si>
  <si>
    <t>70gr</t>
  </si>
  <si>
    <t>Chips Plátano</t>
  </si>
  <si>
    <t>Chips Yuca</t>
  </si>
  <si>
    <t>Sachainchi Natural</t>
  </si>
  <si>
    <t>150gr</t>
  </si>
  <si>
    <t>Sachainchi con Sal</t>
  </si>
  <si>
    <t>Sachainchi Confitado</t>
  </si>
  <si>
    <t>Panela en Cuadro</t>
  </si>
  <si>
    <t>850gr</t>
  </si>
  <si>
    <t>Miel de abeja</t>
  </si>
  <si>
    <t>Media</t>
  </si>
  <si>
    <t>Orellana</t>
  </si>
  <si>
    <t>250gr</t>
  </si>
  <si>
    <t>1000gr</t>
  </si>
  <si>
    <t>Canasta Grande-Pequeña</t>
  </si>
  <si>
    <t>Unidad</t>
  </si>
  <si>
    <t>Citronela</t>
  </si>
  <si>
    <t>Atado</t>
  </si>
  <si>
    <t>Medio atado</t>
  </si>
  <si>
    <t>Pronto alivio</t>
  </si>
  <si>
    <t>Chips de batata</t>
  </si>
  <si>
    <t>50gr</t>
  </si>
  <si>
    <t>AT001A</t>
  </si>
  <si>
    <t>AT002A</t>
  </si>
  <si>
    <t>AT003A</t>
  </si>
  <si>
    <t>AT004A</t>
  </si>
  <si>
    <t>AF005A</t>
  </si>
  <si>
    <t>AF006A</t>
  </si>
  <si>
    <t>AT007A</t>
  </si>
  <si>
    <t>AT008A</t>
  </si>
  <si>
    <t>AF009A</t>
  </si>
  <si>
    <t>AF010A</t>
  </si>
  <si>
    <t>AF011A</t>
  </si>
  <si>
    <t>AT012A</t>
  </si>
  <si>
    <t>AT013G</t>
  </si>
  <si>
    <t>AT014P</t>
  </si>
  <si>
    <t>AT015A</t>
  </si>
  <si>
    <t>AT016A</t>
  </si>
  <si>
    <t>AT017A</t>
  </si>
  <si>
    <t>AT018A</t>
  </si>
  <si>
    <t>Consacá</t>
  </si>
  <si>
    <t>Mandarina</t>
  </si>
  <si>
    <t>Docena</t>
  </si>
  <si>
    <t>Media docena</t>
  </si>
  <si>
    <t xml:space="preserve">Achiote molido </t>
  </si>
  <si>
    <t>20 gr</t>
  </si>
  <si>
    <t>Zapote</t>
  </si>
  <si>
    <t>CFO04A</t>
  </si>
  <si>
    <t>CFO01A</t>
  </si>
  <si>
    <t>CFO02G</t>
  </si>
  <si>
    <t>CFO03P</t>
  </si>
  <si>
    <t>Gualmatán</t>
  </si>
  <si>
    <t>Coliflor</t>
  </si>
  <si>
    <t>Brocoli</t>
  </si>
  <si>
    <t>Lechuga crespa verde</t>
  </si>
  <si>
    <t>Espinaca</t>
  </si>
  <si>
    <t>Acelga</t>
  </si>
  <si>
    <t>Perejil</t>
  </si>
  <si>
    <t>100gr</t>
  </si>
  <si>
    <t>Cilantro</t>
  </si>
  <si>
    <t>Repollo Verde</t>
  </si>
  <si>
    <t>Manzanilla</t>
  </si>
  <si>
    <t>Calendula</t>
  </si>
  <si>
    <t>Zanahoria</t>
  </si>
  <si>
    <t>Kilo</t>
  </si>
  <si>
    <t>Papa Capira</t>
  </si>
  <si>
    <t>Lechuga Batavia</t>
  </si>
  <si>
    <t>Apio</t>
  </si>
  <si>
    <t>700gr</t>
  </si>
  <si>
    <t>GF001A</t>
  </si>
  <si>
    <t>GF002A</t>
  </si>
  <si>
    <t>GF003GP</t>
  </si>
  <si>
    <t>GF004A</t>
  </si>
  <si>
    <t>GF005GP</t>
  </si>
  <si>
    <t>GF006GP</t>
  </si>
  <si>
    <t>GF007A</t>
  </si>
  <si>
    <t>GF008A</t>
  </si>
  <si>
    <t>GF011A</t>
  </si>
  <si>
    <t>GF013GP</t>
  </si>
  <si>
    <t>La Florida</t>
  </si>
  <si>
    <t>Arequipe</t>
  </si>
  <si>
    <t>125gr</t>
  </si>
  <si>
    <t>Ají en polvo</t>
  </si>
  <si>
    <t>25gr</t>
  </si>
  <si>
    <t>Fruta deshidratada</t>
  </si>
  <si>
    <t>Cuajada</t>
  </si>
  <si>
    <t>Miel de abeja con fruta deshidratada para infusiones</t>
  </si>
  <si>
    <t>frasco 100gr</t>
  </si>
  <si>
    <t>Fruta deshidratada frutos rojos (mora, fresa, flor de jamaica), frutos amarillos (piñs, uvilla, papaya) para infusiones (Paquete)</t>
  </si>
  <si>
    <t>200gr</t>
  </si>
  <si>
    <t>sasonador verde</t>
  </si>
  <si>
    <t>sasonador blanco</t>
  </si>
  <si>
    <t>sasonador rojo</t>
  </si>
  <si>
    <t>150gs</t>
  </si>
  <si>
    <t>sasonador  rojo</t>
  </si>
  <si>
    <t>Sábila</t>
  </si>
  <si>
    <t>Litro</t>
  </si>
  <si>
    <t>Medio litro</t>
  </si>
  <si>
    <t>Feijoa</t>
  </si>
  <si>
    <t>Libra</t>
  </si>
  <si>
    <t>Granadilla</t>
  </si>
  <si>
    <t>Banano</t>
  </si>
  <si>
    <t>Mano</t>
  </si>
  <si>
    <t>Media mano</t>
  </si>
  <si>
    <t>Plátano Verde</t>
  </si>
  <si>
    <t>Plátano Amarillo_</t>
  </si>
  <si>
    <t>Cidra</t>
  </si>
  <si>
    <t>Limón Mandarino</t>
  </si>
  <si>
    <t>Chachafruto</t>
  </si>
  <si>
    <t>Sazón natural</t>
  </si>
  <si>
    <t>Cúrcuma</t>
  </si>
  <si>
    <t>20gr</t>
  </si>
  <si>
    <t>Yacón</t>
  </si>
  <si>
    <t>Dulce de Mora</t>
  </si>
  <si>
    <t>Medio Litro</t>
  </si>
  <si>
    <t>250 Ml</t>
  </si>
  <si>
    <t>Dulce de Leche</t>
  </si>
  <si>
    <t>Dulce de Guayaba</t>
  </si>
  <si>
    <t>Dulce de Breva</t>
  </si>
  <si>
    <t>500 Ml</t>
  </si>
  <si>
    <t>Dulce de Chilacuan</t>
  </si>
  <si>
    <t>champus con mote y piña</t>
  </si>
  <si>
    <t>litro</t>
  </si>
  <si>
    <t>500 ml</t>
  </si>
  <si>
    <t>FT001A</t>
  </si>
  <si>
    <t>FT002A</t>
  </si>
  <si>
    <t>FF003G</t>
  </si>
  <si>
    <t>FF004P</t>
  </si>
  <si>
    <t>FF005A</t>
  </si>
  <si>
    <t>FT006A</t>
  </si>
  <si>
    <t>FT007A</t>
  </si>
  <si>
    <t>FF008A</t>
  </si>
  <si>
    <t>FT009A</t>
  </si>
  <si>
    <t>FT010A</t>
  </si>
  <si>
    <t>FT011A</t>
  </si>
  <si>
    <t>FT012A</t>
  </si>
  <si>
    <t>FT013A</t>
  </si>
  <si>
    <t>FT014A</t>
  </si>
  <si>
    <t>FT015A</t>
  </si>
  <si>
    <t>FT016A</t>
  </si>
  <si>
    <t>FT017A</t>
  </si>
  <si>
    <t>FT018A</t>
  </si>
  <si>
    <t>FT019A</t>
  </si>
  <si>
    <t>FF020GP</t>
  </si>
  <si>
    <t>FT021A</t>
  </si>
  <si>
    <t>FT022A</t>
  </si>
  <si>
    <t>FT023A</t>
  </si>
  <si>
    <t>Sandoná</t>
  </si>
  <si>
    <t>Yuca</t>
  </si>
  <si>
    <t>Plátano amarillo</t>
  </si>
  <si>
    <t>SF003G</t>
  </si>
  <si>
    <t>SF004P</t>
  </si>
  <si>
    <t>Yacuanquer</t>
  </si>
  <si>
    <t xml:space="preserve">Naranja </t>
  </si>
  <si>
    <t xml:space="preserve">Lechuga </t>
  </si>
  <si>
    <t xml:space="preserve">Unidad </t>
  </si>
  <si>
    <t xml:space="preserve">Cilantro </t>
  </si>
  <si>
    <t xml:space="preserve">Medio atado </t>
  </si>
  <si>
    <t>Huevo Feliz</t>
  </si>
  <si>
    <t xml:space="preserve">Panal </t>
  </si>
  <si>
    <t xml:space="preserve">Huevo Criollo </t>
  </si>
  <si>
    <t xml:space="preserve">Fideos Caseros </t>
  </si>
  <si>
    <t>Paquete</t>
  </si>
  <si>
    <t xml:space="preserve">Remolacha </t>
  </si>
  <si>
    <t>Atado x 4 uni</t>
  </si>
  <si>
    <t xml:space="preserve">Acelga </t>
  </si>
  <si>
    <t xml:space="preserve">Atado </t>
  </si>
  <si>
    <t xml:space="preserve">Arepa de Callana </t>
  </si>
  <si>
    <t>atado</t>
  </si>
  <si>
    <t xml:space="preserve">Habichuela </t>
  </si>
  <si>
    <t xml:space="preserve">Paquete </t>
  </si>
  <si>
    <t xml:space="preserve">Tomate de Arbol </t>
  </si>
  <si>
    <t xml:space="preserve">Media docena </t>
  </si>
  <si>
    <t xml:space="preserve">Frijol lima </t>
  </si>
  <si>
    <t xml:space="preserve">Libra </t>
  </si>
  <si>
    <t xml:space="preserve">Tamal de queso </t>
  </si>
  <si>
    <t xml:space="preserve">x 2 unidades </t>
  </si>
  <si>
    <t xml:space="preserve">Café primitivo   </t>
  </si>
  <si>
    <t>Media libra</t>
  </si>
  <si>
    <t>Limón tahití</t>
  </si>
  <si>
    <t>Guandul</t>
  </si>
  <si>
    <t>Aromaticas Aniz</t>
  </si>
  <si>
    <t>Aromatica Romero</t>
  </si>
  <si>
    <t>Aromatica Tomillo</t>
  </si>
  <si>
    <t>YF004A</t>
  </si>
  <si>
    <t>YF005A</t>
  </si>
  <si>
    <t>YF006A</t>
  </si>
  <si>
    <t>YF007A</t>
  </si>
  <si>
    <t>YT009A</t>
  </si>
  <si>
    <t>YF001A</t>
  </si>
  <si>
    <t>YF014A</t>
  </si>
  <si>
    <t>YF015A</t>
  </si>
  <si>
    <t>YF016A</t>
  </si>
  <si>
    <t>YF017A</t>
  </si>
  <si>
    <t>YF018A</t>
  </si>
  <si>
    <t>YF019A</t>
  </si>
  <si>
    <t>YF021A</t>
  </si>
  <si>
    <t>YF022A</t>
  </si>
  <si>
    <t>YF024A</t>
  </si>
  <si>
    <t xml:space="preserve">Docena </t>
  </si>
  <si>
    <t xml:space="preserve">Aguacate </t>
  </si>
  <si>
    <t>Choclo</t>
  </si>
  <si>
    <t>YF002A</t>
  </si>
  <si>
    <t>YT003A</t>
  </si>
  <si>
    <t>YT008A</t>
  </si>
  <si>
    <t>YF010GP</t>
  </si>
  <si>
    <t>YF011GP</t>
  </si>
  <si>
    <t>YF012A</t>
  </si>
  <si>
    <t>YT013A</t>
  </si>
  <si>
    <t>Y0023GP</t>
  </si>
  <si>
    <t>YF020G</t>
  </si>
  <si>
    <t>YF025A</t>
  </si>
  <si>
    <t>YT026A</t>
  </si>
  <si>
    <t>YF027A</t>
  </si>
  <si>
    <t>SF001P</t>
  </si>
  <si>
    <t>SF002G</t>
  </si>
  <si>
    <t>%Transporte</t>
  </si>
  <si>
    <t>% logistica</t>
  </si>
  <si>
    <t>logistica</t>
  </si>
  <si>
    <t>FT024A</t>
  </si>
  <si>
    <t>FT025A</t>
  </si>
  <si>
    <t>FF026G</t>
  </si>
  <si>
    <t>FF027P</t>
  </si>
  <si>
    <t>FT028P</t>
  </si>
  <si>
    <t>FF029P</t>
  </si>
  <si>
    <t>FF030P</t>
  </si>
  <si>
    <t>FF031P</t>
  </si>
  <si>
    <t>FF032P</t>
  </si>
  <si>
    <t>FF033P</t>
  </si>
  <si>
    <t>FF034P</t>
  </si>
  <si>
    <t>FT035P</t>
  </si>
  <si>
    <t>FT036P</t>
  </si>
  <si>
    <t>FT037P</t>
  </si>
  <si>
    <t>FT038P</t>
  </si>
  <si>
    <t>FT039P</t>
  </si>
  <si>
    <t>FT040P</t>
  </si>
  <si>
    <t>FT041P</t>
  </si>
  <si>
    <t>FF042P</t>
  </si>
  <si>
    <t>Precio Sugerido</t>
  </si>
  <si>
    <t>Precio final</t>
  </si>
  <si>
    <t>Precio Final</t>
  </si>
  <si>
    <t>PRECIO ACUAL</t>
  </si>
  <si>
    <t>GF009GP</t>
  </si>
  <si>
    <t>GF010A</t>
  </si>
  <si>
    <t>GF012GP</t>
  </si>
  <si>
    <t>GF014A</t>
  </si>
  <si>
    <t>Precio sugerido</t>
  </si>
  <si>
    <t>utilidad</t>
  </si>
  <si>
    <t>aceiete 1 Romeronz</t>
  </si>
  <si>
    <t>YT028</t>
  </si>
  <si>
    <t>YT029</t>
  </si>
  <si>
    <t>Aceite  naranja</t>
  </si>
  <si>
    <t>adicional</t>
  </si>
  <si>
    <t>Aromatica hierbabuena</t>
  </si>
  <si>
    <t>1 onz</t>
  </si>
  <si>
    <t>Aceite de romero</t>
  </si>
  <si>
    <t>libra</t>
  </si>
  <si>
    <t>Verduras</t>
  </si>
  <si>
    <t>YF030P</t>
  </si>
  <si>
    <t>Snacks</t>
  </si>
  <si>
    <t>Media Docena</t>
  </si>
  <si>
    <t>Queso campesino</t>
  </si>
  <si>
    <t>Sazonadores</t>
  </si>
  <si>
    <t>Frutas</t>
  </si>
  <si>
    <t>Legumbres</t>
  </si>
  <si>
    <t>Proteínas</t>
  </si>
  <si>
    <t>Postres</t>
  </si>
  <si>
    <t>Autocuidado</t>
  </si>
  <si>
    <t>Aromáticas</t>
  </si>
  <si>
    <t>FT043A</t>
  </si>
  <si>
    <t>Café Bourbon Rojo y Amarillo</t>
  </si>
  <si>
    <t>Lácteos</t>
  </si>
  <si>
    <t>YT031A</t>
  </si>
  <si>
    <t>Champús con mote y piña</t>
  </si>
  <si>
    <t>Adicionales</t>
  </si>
  <si>
    <t xml:space="preserve">Café </t>
  </si>
  <si>
    <t xml:space="preserve">Café Primitivo   </t>
  </si>
  <si>
    <t>Tubérculo</t>
  </si>
  <si>
    <t>Ítems</t>
  </si>
  <si>
    <t>Frasco 100gr</t>
  </si>
  <si>
    <t>% Logística</t>
  </si>
  <si>
    <t>Tamal navideño</t>
  </si>
  <si>
    <t>Temporada</t>
  </si>
  <si>
    <t>Grande</t>
  </si>
  <si>
    <t>Muchacho relleno</t>
  </si>
  <si>
    <t>Chips de arracacha</t>
  </si>
  <si>
    <t>Chips de plátano</t>
  </si>
  <si>
    <t>Chips de yuca</t>
  </si>
  <si>
    <t>Panela en cuadro</t>
  </si>
  <si>
    <t>Sacha inchi con sal</t>
  </si>
  <si>
    <t>Sacha inchi confitado</t>
  </si>
  <si>
    <t>Sachainchi natural</t>
  </si>
  <si>
    <t>Brócoli</t>
  </si>
  <si>
    <t>Caléndula</t>
  </si>
  <si>
    <t>Lechuga batavia</t>
  </si>
  <si>
    <t>Papa capira</t>
  </si>
  <si>
    <t>Repollo verde</t>
  </si>
  <si>
    <t>Dulce de breva</t>
  </si>
  <si>
    <t>Dulce de guayaba</t>
  </si>
  <si>
    <t>Dulce de leche</t>
  </si>
  <si>
    <t>Miel de abeja con fruta deshidratada para infusiones.</t>
  </si>
  <si>
    <t>Plátano verde</t>
  </si>
  <si>
    <t>Pollo criollo</t>
  </si>
  <si>
    <t>Pollo semicriollo</t>
  </si>
  <si>
    <t xml:space="preserve">Arepa de callana </t>
  </si>
  <si>
    <t xml:space="preserve">Huevo criollo </t>
  </si>
  <si>
    <t>Huevo feliz</t>
  </si>
  <si>
    <t>Limón mandarino</t>
  </si>
  <si>
    <t xml:space="preserve">Tomate de árbol </t>
  </si>
  <si>
    <t>Café bourbon rojo y amarillo</t>
  </si>
  <si>
    <t>Hongos Comestibles</t>
  </si>
  <si>
    <t>Aromática de hierbabuena</t>
  </si>
  <si>
    <t>Aromática de romero</t>
  </si>
  <si>
    <t>Aromática de anís</t>
  </si>
  <si>
    <t>1 kilo - 8 Porciones</t>
  </si>
  <si>
    <t xml:space="preserve">Paquete x 2 unidades </t>
  </si>
  <si>
    <t>AN001A</t>
  </si>
  <si>
    <t>AN002A</t>
  </si>
  <si>
    <t>AN003A</t>
  </si>
  <si>
    <t>AN004A</t>
  </si>
  <si>
    <t>AN005A</t>
  </si>
  <si>
    <t>AN006A</t>
  </si>
  <si>
    <t>AN007A</t>
  </si>
  <si>
    <t>AN008A</t>
  </si>
  <si>
    <t>AN009A</t>
  </si>
  <si>
    <t>AN010A</t>
  </si>
  <si>
    <t>AN011A</t>
  </si>
  <si>
    <t>AN012A</t>
  </si>
  <si>
    <t>AN013G</t>
  </si>
  <si>
    <t>AN014P</t>
  </si>
  <si>
    <t>AN015A</t>
  </si>
  <si>
    <t>AN016A</t>
  </si>
  <si>
    <t>AN017A</t>
  </si>
  <si>
    <t>AN018A</t>
  </si>
  <si>
    <t>C001A</t>
  </si>
  <si>
    <t>C002G</t>
  </si>
  <si>
    <t>C003P</t>
  </si>
  <si>
    <t>C004A</t>
  </si>
  <si>
    <t>GU001A</t>
  </si>
  <si>
    <t>GU002A</t>
  </si>
  <si>
    <t>GU003GP</t>
  </si>
  <si>
    <t>GU004A</t>
  </si>
  <si>
    <t>GU005GP</t>
  </si>
  <si>
    <t>GU006GP</t>
  </si>
  <si>
    <t>GU007A</t>
  </si>
  <si>
    <t>GU008A</t>
  </si>
  <si>
    <t>GU009GP</t>
  </si>
  <si>
    <t>GU010A</t>
  </si>
  <si>
    <t>GU011A</t>
  </si>
  <si>
    <t>GU012GP</t>
  </si>
  <si>
    <t>GU013GP</t>
  </si>
  <si>
    <t>GU014A</t>
  </si>
  <si>
    <t>F001A</t>
  </si>
  <si>
    <t>F002A</t>
  </si>
  <si>
    <t>F003G</t>
  </si>
  <si>
    <t>F004P</t>
  </si>
  <si>
    <t>F005A</t>
  </si>
  <si>
    <t>F006A</t>
  </si>
  <si>
    <t>F007A</t>
  </si>
  <si>
    <t>F008A</t>
  </si>
  <si>
    <t>F009A</t>
  </si>
  <si>
    <t>F010A</t>
  </si>
  <si>
    <t>F011A</t>
  </si>
  <si>
    <t>F012A</t>
  </si>
  <si>
    <t>F013A</t>
  </si>
  <si>
    <t>F014A</t>
  </si>
  <si>
    <t>F015A</t>
  </si>
  <si>
    <t>F016A</t>
  </si>
  <si>
    <t>F017A</t>
  </si>
  <si>
    <t>F018A</t>
  </si>
  <si>
    <t>F019A</t>
  </si>
  <si>
    <t>F020GP</t>
  </si>
  <si>
    <t>F021A</t>
  </si>
  <si>
    <t>F022A</t>
  </si>
  <si>
    <t>F023A</t>
  </si>
  <si>
    <t>F024A</t>
  </si>
  <si>
    <t>F025A</t>
  </si>
  <si>
    <t>F026G</t>
  </si>
  <si>
    <t>F027P</t>
  </si>
  <si>
    <t>F028P</t>
  </si>
  <si>
    <t>F029P</t>
  </si>
  <si>
    <t>F030P</t>
  </si>
  <si>
    <t>F031P</t>
  </si>
  <si>
    <t>F032P</t>
  </si>
  <si>
    <t>F033A</t>
  </si>
  <si>
    <t>F035A</t>
  </si>
  <si>
    <t>F036A</t>
  </si>
  <si>
    <t>F037A</t>
  </si>
  <si>
    <t>F038A</t>
  </si>
  <si>
    <t>F039A</t>
  </si>
  <si>
    <t>F041A</t>
  </si>
  <si>
    <t>F043A</t>
  </si>
  <si>
    <t>F044A</t>
  </si>
  <si>
    <t>F045A</t>
  </si>
  <si>
    <t>S001P</t>
  </si>
  <si>
    <t>S002G</t>
  </si>
  <si>
    <t>S003G</t>
  </si>
  <si>
    <t>S004P</t>
  </si>
  <si>
    <t>Y001A</t>
  </si>
  <si>
    <t>Y002A</t>
  </si>
  <si>
    <t>Y003A</t>
  </si>
  <si>
    <t>Y004A</t>
  </si>
  <si>
    <t>Y005A</t>
  </si>
  <si>
    <t>Y006A</t>
  </si>
  <si>
    <t>Y007A</t>
  </si>
  <si>
    <t>Y008A</t>
  </si>
  <si>
    <t>Y009A</t>
  </si>
  <si>
    <t>Y010GP</t>
  </si>
  <si>
    <t>Y011GP</t>
  </si>
  <si>
    <t>Y012A</t>
  </si>
  <si>
    <t>Y013A</t>
  </si>
  <si>
    <t>Y014A</t>
  </si>
  <si>
    <t>Y015A</t>
  </si>
  <si>
    <t>Y016A</t>
  </si>
  <si>
    <t>Y017A</t>
  </si>
  <si>
    <t>Y018A</t>
  </si>
  <si>
    <t>Y019A</t>
  </si>
  <si>
    <t>Y020G</t>
  </si>
  <si>
    <t>Y021A</t>
  </si>
  <si>
    <t>Y022A</t>
  </si>
  <si>
    <t>Y023GP</t>
  </si>
  <si>
    <t>Y024A</t>
  </si>
  <si>
    <t>Y025A</t>
  </si>
  <si>
    <t>Y026A</t>
  </si>
  <si>
    <t>Y027A</t>
  </si>
  <si>
    <t>Y028A</t>
  </si>
  <si>
    <t>Y029A</t>
  </si>
  <si>
    <t>Y030P</t>
  </si>
  <si>
    <t>Y031A</t>
  </si>
  <si>
    <t>Y032A</t>
  </si>
  <si>
    <t>Y033A</t>
  </si>
  <si>
    <t>Sazón verde (Grande)</t>
  </si>
  <si>
    <t>Fruta deshidratada frutos rojos (mora, fresa, flor de jamaica), frutos amarillos (piña, uvilla, papaya) para infusiones (Grande).</t>
  </si>
  <si>
    <t>Fruta deshidratada frutos rojos (mora, fresa, flor de jamaica), frutos amarillos (piña, uvilla, papaya) para infusiones (Pequeña).</t>
  </si>
  <si>
    <t>Orellana (Mediana)</t>
  </si>
  <si>
    <t>Orellana (Pequeña)</t>
  </si>
  <si>
    <t>Aceite de naranja</t>
  </si>
  <si>
    <t>250 ml</t>
  </si>
  <si>
    <t>Dulce de chilacuán (Pequeño)</t>
  </si>
  <si>
    <t>Dulce de chilacuán (Grande)</t>
  </si>
  <si>
    <t>Dulce de leche (Grande)</t>
  </si>
  <si>
    <t>Dulce de mora (Grande)</t>
  </si>
  <si>
    <t>Sazón rojo (Grande)</t>
  </si>
  <si>
    <t>Orellana (Grande)</t>
  </si>
  <si>
    <t>Panela pulverizada (Grande)</t>
  </si>
  <si>
    <t>Sábila (Grande)</t>
  </si>
  <si>
    <t>Dulce de breva (Grande)</t>
  </si>
  <si>
    <t>Dulce de mora (Pequeño)</t>
  </si>
  <si>
    <t>Fruta deshidratada (Grande)</t>
  </si>
  <si>
    <t>Sazón rojo (Pequeño)</t>
  </si>
  <si>
    <t>Sazón blanco (Grande)</t>
  </si>
  <si>
    <t>Sazón verde (Pequeño)</t>
  </si>
  <si>
    <t>F040A</t>
  </si>
  <si>
    <t>Fruta deshidratada (Pequeña)</t>
  </si>
  <si>
    <t>Fruta deshidratada (Mediana)</t>
  </si>
  <si>
    <t>Sazón blanco (Pequeño)</t>
  </si>
  <si>
    <t>F046A</t>
  </si>
  <si>
    <t>F047A</t>
  </si>
  <si>
    <t>Café Magia en tu boca (Grano)</t>
  </si>
  <si>
    <t>Café Magia en tu boca (Molido)</t>
  </si>
  <si>
    <t>Y034A</t>
  </si>
  <si>
    <t>200 gr</t>
  </si>
  <si>
    <t>120 gr</t>
  </si>
  <si>
    <t>Y035A</t>
  </si>
  <si>
    <t>Y036A</t>
  </si>
  <si>
    <t>Y037A</t>
  </si>
  <si>
    <t>Albahaca en polvo</t>
  </si>
  <si>
    <t>Tomillo en polvo</t>
  </si>
  <si>
    <t>Condimento verde en polvo</t>
  </si>
  <si>
    <t>Mix aromático (Anís, amaranto, hierbabuena y ahlelí).</t>
  </si>
  <si>
    <t>Tomillo fresco</t>
  </si>
  <si>
    <t>Sábila (Pequeña)</t>
  </si>
  <si>
    <t>F034A</t>
  </si>
  <si>
    <t>F042A</t>
  </si>
  <si>
    <t xml:space="preserve"> </t>
  </si>
  <si>
    <t>C005G</t>
  </si>
  <si>
    <t>C006P</t>
  </si>
  <si>
    <t>AN019A</t>
  </si>
  <si>
    <t>Gelatina de pata negra</t>
  </si>
  <si>
    <t>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</si>
</sst>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[$$-240A]\ #,##0"/>
    <numFmt numFmtId="165" formatCode="&quot;$&quot;\ #,##0"/>
    <numFmt numFmtId="166" formatCode="_-&quot;$&quot;\ * #,##0_-;\-&quot;$&quot;\ * #,##0_-;_-&quot;$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FF0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00FF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45B0E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45B0E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45B0E1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45B0E1"/>
      </top>
      <bottom/>
      <diagonal/>
    </border>
    <border>
      <left/>
      <right style="thin">
        <color rgb="FF000000"/>
      </right>
      <top style="thin">
        <color rgb="FF45B0E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3">
    <xf numFmtId="0" fontId="0" fillId="0" borderId="0" xfId="0"/>
    <xf numFmtId="0" fontId="2" fillId="0" borderId="0" xfId="0" applyFont="1"/>
    <xf numFmtId="0" fontId="0" fillId="0" borderId="6" xfId="0" applyBorder="1"/>
    <xf numFmtId="166" fontId="2" fillId="0" borderId="0" xfId="1" applyNumberFormat="1" applyFont="1"/>
    <xf numFmtId="166" fontId="0" fillId="0" borderId="0" xfId="1" applyNumberFormat="1" applyFont="1"/>
    <xf numFmtId="0" fontId="5" fillId="0" borderId="6" xfId="0" applyFont="1" applyBorder="1"/>
    <xf numFmtId="165" fontId="5" fillId="0" borderId="6" xfId="0" applyNumberFormat="1" applyFont="1" applyBorder="1"/>
    <xf numFmtId="166" fontId="5" fillId="0" borderId="6" xfId="1" applyNumberFormat="1" applyFont="1" applyBorder="1"/>
    <xf numFmtId="164" fontId="5" fillId="0" borderId="6" xfId="0" applyNumberFormat="1" applyFont="1" applyBorder="1"/>
    <xf numFmtId="0" fontId="0" fillId="0" borderId="6" xfId="0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2" xfId="0" applyFont="1" applyBorder="1" applyAlignment="1">
      <alignment horizontal="center"/>
    </xf>
    <xf numFmtId="166" fontId="8" fillId="0" borderId="6" xfId="1" applyNumberFormat="1" applyFont="1" applyBorder="1" applyAlignment="1">
      <alignment horizontal="center"/>
    </xf>
    <xf numFmtId="164" fontId="8" fillId="0" borderId="9" xfId="0" applyNumberFormat="1" applyFont="1" applyBorder="1"/>
    <xf numFmtId="0" fontId="7" fillId="0" borderId="6" xfId="0" applyFont="1" applyBorder="1"/>
    <xf numFmtId="0" fontId="9" fillId="0" borderId="3" xfId="0" applyFont="1" applyBorder="1"/>
    <xf numFmtId="165" fontId="9" fillId="0" borderId="1" xfId="0" applyNumberFormat="1" applyFont="1" applyBorder="1"/>
    <xf numFmtId="166" fontId="9" fillId="0" borderId="5" xfId="1" applyNumberFormat="1" applyFont="1" applyBorder="1"/>
    <xf numFmtId="164" fontId="9" fillId="0" borderId="10" xfId="0" applyNumberFormat="1" applyFont="1" applyBorder="1"/>
    <xf numFmtId="165" fontId="9" fillId="0" borderId="6" xfId="0" applyNumberFormat="1" applyFont="1" applyBorder="1"/>
    <xf numFmtId="0" fontId="9" fillId="0" borderId="1" xfId="0" applyFont="1" applyBorder="1"/>
    <xf numFmtId="0" fontId="9" fillId="0" borderId="4" xfId="0" applyFont="1" applyBorder="1"/>
    <xf numFmtId="0" fontId="9" fillId="2" borderId="1" xfId="0" applyFont="1" applyFill="1" applyBorder="1"/>
    <xf numFmtId="165" fontId="9" fillId="2" borderId="1" xfId="0" applyNumberFormat="1" applyFont="1" applyFill="1" applyBorder="1"/>
    <xf numFmtId="0" fontId="10" fillId="0" borderId="6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164" fontId="8" fillId="0" borderId="2" xfId="0" applyNumberFormat="1" applyFont="1" applyBorder="1"/>
    <xf numFmtId="164" fontId="9" fillId="0" borderId="1" xfId="0" applyNumberFormat="1" applyFont="1" applyBorder="1"/>
    <xf numFmtId="164" fontId="9" fillId="0" borderId="2" xfId="0" applyNumberFormat="1" applyFont="1" applyBorder="1"/>
    <xf numFmtId="0" fontId="9" fillId="2" borderId="3" xfId="0" applyFont="1" applyFill="1" applyBorder="1"/>
    <xf numFmtId="0" fontId="8" fillId="0" borderId="6" xfId="0" applyFont="1" applyBorder="1"/>
    <xf numFmtId="164" fontId="8" fillId="0" borderId="6" xfId="0" applyNumberFormat="1" applyFont="1" applyBorder="1"/>
    <xf numFmtId="0" fontId="9" fillId="0" borderId="6" xfId="0" applyFont="1" applyBorder="1"/>
    <xf numFmtId="164" fontId="9" fillId="0" borderId="6" xfId="0" applyNumberFormat="1" applyFont="1" applyBorder="1"/>
    <xf numFmtId="0" fontId="8" fillId="0" borderId="6" xfId="0" applyFont="1" applyBorder="1" applyAlignment="1">
      <alignment horizontal="center" wrapText="1"/>
    </xf>
    <xf numFmtId="0" fontId="8" fillId="0" borderId="6" xfId="0" applyFont="1" applyBorder="1" applyAlignment="1">
      <alignment wrapText="1"/>
    </xf>
    <xf numFmtId="164" fontId="8" fillId="0" borderId="6" xfId="0" applyNumberFormat="1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9" fillId="0" borderId="6" xfId="0" applyFont="1" applyBorder="1" applyAlignment="1">
      <alignment vertical="center" wrapText="1"/>
    </xf>
    <xf numFmtId="165" fontId="9" fillId="0" borderId="6" xfId="0" applyNumberFormat="1" applyFont="1" applyBorder="1" applyAlignment="1">
      <alignment vertical="center" wrapText="1"/>
    </xf>
    <xf numFmtId="166" fontId="9" fillId="0" borderId="6" xfId="1" applyNumberFormat="1" applyFont="1" applyBorder="1" applyAlignment="1">
      <alignment vertical="center" wrapText="1"/>
    </xf>
    <xf numFmtId="164" fontId="9" fillId="0" borderId="6" xfId="0" applyNumberFormat="1" applyFont="1" applyBorder="1" applyAlignment="1">
      <alignment vertical="center" wrapText="1"/>
    </xf>
    <xf numFmtId="3" fontId="7" fillId="0" borderId="6" xfId="0" applyNumberFormat="1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11" fillId="0" borderId="6" xfId="0" applyFont="1" applyBorder="1" applyAlignment="1">
      <alignment horizontal="center"/>
    </xf>
    <xf numFmtId="165" fontId="5" fillId="3" borderId="6" xfId="0" applyNumberFormat="1" applyFont="1" applyFill="1" applyBorder="1"/>
    <xf numFmtId="165" fontId="5" fillId="4" borderId="6" xfId="0" applyNumberFormat="1" applyFont="1" applyFill="1" applyBorder="1"/>
    <xf numFmtId="166" fontId="5" fillId="0" borderId="6" xfId="1" applyNumberFormat="1" applyFont="1" applyFill="1" applyBorder="1"/>
    <xf numFmtId="0" fontId="6" fillId="0" borderId="6" xfId="0" applyFont="1" applyBorder="1" applyAlignment="1">
      <alignment horizontal="center"/>
    </xf>
    <xf numFmtId="164" fontId="11" fillId="0" borderId="6" xfId="0" applyNumberFormat="1" applyFont="1" applyBorder="1" applyAlignment="1">
      <alignment horizontal="center"/>
    </xf>
    <xf numFmtId="0" fontId="5" fillId="3" borderId="6" xfId="0" applyFont="1" applyFill="1" applyBorder="1"/>
    <xf numFmtId="164" fontId="5" fillId="3" borderId="6" xfId="0" applyNumberFormat="1" applyFont="1" applyFill="1" applyBorder="1"/>
    <xf numFmtId="0" fontId="5" fillId="4" borderId="6" xfId="0" applyFont="1" applyFill="1" applyBorder="1"/>
    <xf numFmtId="164" fontId="5" fillId="4" borderId="6" xfId="0" applyNumberFormat="1" applyFont="1" applyFill="1" applyBorder="1"/>
    <xf numFmtId="0" fontId="0" fillId="0" borderId="0" xfId="0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4" fillId="0" borderId="8" xfId="0" applyFont="1" applyFill="1" applyBorder="1"/>
    <xf numFmtId="0" fontId="4" fillId="0" borderId="8" xfId="0" applyFont="1" applyFill="1" applyBorder="1" applyAlignment="1">
      <alignment vertical="center"/>
    </xf>
    <xf numFmtId="0" fontId="4" fillId="0" borderId="14" xfId="0" applyFont="1" applyFill="1" applyBorder="1"/>
    <xf numFmtId="0" fontId="4" fillId="0" borderId="12" xfId="0" applyFont="1" applyFill="1" applyBorder="1"/>
    <xf numFmtId="0" fontId="13" fillId="0" borderId="6" xfId="0" applyFont="1" applyFill="1" applyBorder="1"/>
    <xf numFmtId="0" fontId="0" fillId="0" borderId="0" xfId="0" applyFill="1"/>
    <xf numFmtId="0" fontId="15" fillId="0" borderId="5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 wrapText="1"/>
    </xf>
    <xf numFmtId="0" fontId="15" fillId="0" borderId="10" xfId="0" applyFont="1" applyFill="1" applyBorder="1" applyAlignment="1">
      <alignment horizontal="center" vertical="center"/>
    </xf>
    <xf numFmtId="166" fontId="15" fillId="0" borderId="5" xfId="0" applyNumberFormat="1" applyFont="1" applyFill="1" applyBorder="1" applyAlignment="1">
      <alignment horizontal="center" vertical="center"/>
    </xf>
    <xf numFmtId="164" fontId="15" fillId="0" borderId="10" xfId="0" applyNumberFormat="1" applyFont="1" applyFill="1" applyBorder="1" applyAlignment="1">
      <alignment horizontal="center" vertical="center" wrapText="1"/>
    </xf>
    <xf numFmtId="0" fontId="14" fillId="0" borderId="3" xfId="0" applyFont="1" applyFill="1" applyBorder="1"/>
    <xf numFmtId="0" fontId="14" fillId="0" borderId="3" xfId="0" applyFont="1" applyFill="1" applyBorder="1" applyAlignment="1">
      <alignment wrapText="1"/>
    </xf>
    <xf numFmtId="165" fontId="14" fillId="0" borderId="1" xfId="0" applyNumberFormat="1" applyFont="1" applyFill="1" applyBorder="1"/>
    <xf numFmtId="166" fontId="14" fillId="0" borderId="5" xfId="0" applyNumberFormat="1" applyFont="1" applyFill="1" applyBorder="1"/>
    <xf numFmtId="164" fontId="14" fillId="0" borderId="10" xfId="0" applyNumberFormat="1" applyFont="1" applyFill="1" applyBorder="1"/>
    <xf numFmtId="164" fontId="14" fillId="0" borderId="2" xfId="0" applyNumberFormat="1" applyFont="1" applyFill="1" applyBorder="1"/>
    <xf numFmtId="0" fontId="14" fillId="0" borderId="3" xfId="0" applyFont="1" applyFill="1" applyBorder="1" applyAlignment="1">
      <alignment vertical="center"/>
    </xf>
    <xf numFmtId="0" fontId="14" fillId="0" borderId="3" xfId="0" applyFont="1" applyFill="1" applyBorder="1" applyAlignment="1">
      <alignment vertical="center" wrapText="1"/>
    </xf>
    <xf numFmtId="165" fontId="14" fillId="0" borderId="1" xfId="0" applyNumberFormat="1" applyFont="1" applyFill="1" applyBorder="1" applyAlignment="1">
      <alignment vertical="center"/>
    </xf>
    <xf numFmtId="166" fontId="14" fillId="0" borderId="5" xfId="0" applyNumberFormat="1" applyFont="1" applyFill="1" applyBorder="1" applyAlignment="1">
      <alignment vertical="center"/>
    </xf>
    <xf numFmtId="164" fontId="14" fillId="0" borderId="10" xfId="0" applyNumberFormat="1" applyFont="1" applyFill="1" applyBorder="1" applyAlignment="1">
      <alignment vertical="center"/>
    </xf>
    <xf numFmtId="164" fontId="14" fillId="0" borderId="2" xfId="0" applyNumberFormat="1" applyFont="1" applyFill="1" applyBorder="1" applyAlignment="1">
      <alignment vertical="center"/>
    </xf>
    <xf numFmtId="0" fontId="14" fillId="0" borderId="13" xfId="0" applyFont="1" applyFill="1" applyBorder="1" applyAlignment="1">
      <alignment wrapText="1"/>
    </xf>
    <xf numFmtId="0" fontId="14" fillId="0" borderId="13" xfId="0" applyFont="1" applyFill="1" applyBorder="1"/>
    <xf numFmtId="165" fontId="14" fillId="0" borderId="7" xfId="0" applyNumberFormat="1" applyFont="1" applyFill="1" applyBorder="1"/>
    <xf numFmtId="166" fontId="14" fillId="0" borderId="11" xfId="0" applyNumberFormat="1" applyFont="1" applyFill="1" applyBorder="1"/>
    <xf numFmtId="164" fontId="14" fillId="0" borderId="15" xfId="0" applyNumberFormat="1" applyFont="1" applyFill="1" applyBorder="1"/>
    <xf numFmtId="164" fontId="14" fillId="0" borderId="16" xfId="0" applyNumberFormat="1" applyFont="1" applyFill="1" applyBorder="1"/>
    <xf numFmtId="0" fontId="14" fillId="0" borderId="12" xfId="0" applyFont="1" applyFill="1" applyBorder="1" applyAlignment="1">
      <alignment wrapText="1"/>
    </xf>
    <xf numFmtId="0" fontId="14" fillId="0" borderId="12" xfId="0" applyFont="1" applyFill="1" applyBorder="1"/>
    <xf numFmtId="165" fontId="14" fillId="0" borderId="12" xfId="0" applyNumberFormat="1" applyFont="1" applyFill="1" applyBorder="1"/>
    <xf numFmtId="166" fontId="14" fillId="0" borderId="12" xfId="0" applyNumberFormat="1" applyFont="1" applyFill="1" applyBorder="1"/>
    <xf numFmtId="164" fontId="14" fillId="0" borderId="12" xfId="0" applyNumberFormat="1" applyFont="1" applyFill="1" applyBorder="1"/>
    <xf numFmtId="0" fontId="14" fillId="0" borderId="6" xfId="0" applyFont="1" applyFill="1" applyBorder="1"/>
    <xf numFmtId="0" fontId="14" fillId="0" borderId="6" xfId="0" applyFont="1" applyFill="1" applyBorder="1" applyAlignment="1">
      <alignment wrapText="1"/>
    </xf>
    <xf numFmtId="165" fontId="14" fillId="0" borderId="6" xfId="0" applyNumberFormat="1" applyFont="1" applyFill="1" applyBorder="1"/>
    <xf numFmtId="166" fontId="14" fillId="0" borderId="6" xfId="0" applyNumberFormat="1" applyFont="1" applyFill="1" applyBorder="1"/>
    <xf numFmtId="164" fontId="14" fillId="0" borderId="6" xfId="0" applyNumberFormat="1" applyFont="1" applyFill="1" applyBorder="1"/>
    <xf numFmtId="0" fontId="14" fillId="0" borderId="0" xfId="0" applyFont="1" applyFill="1"/>
    <xf numFmtId="0" fontId="14" fillId="0" borderId="0" xfId="0" applyFont="1" applyFill="1" applyAlignment="1">
      <alignment wrapText="1"/>
    </xf>
    <xf numFmtId="0" fontId="4" fillId="0" borderId="3" xfId="0" applyFont="1" applyFill="1" applyBorder="1"/>
    <xf numFmtId="0" fontId="4" fillId="0" borderId="3" xfId="0" applyFont="1" applyFill="1" applyBorder="1" applyAlignment="1">
      <alignment vertical="center"/>
    </xf>
    <xf numFmtId="0" fontId="4" fillId="0" borderId="13" xfId="0" applyFont="1" applyFill="1" applyBorder="1"/>
  </cellXfs>
  <cellStyles count="2">
    <cellStyle name="Moneda" xfId="1" builtinId="4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45B0E1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[$$-240A]\ #,##0"/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[$$-240A]\ #,##0"/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/>
        <top/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&quot;$&quot;\ #,##0"/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45B0E1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45B0E1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45B0E1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rgb="FF000000"/>
        </right>
        <top style="thin">
          <color rgb="FF45B0E1"/>
        </top>
        <bottom style="thin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</dxfs>
  <tableStyles count="0" defaultTableStyle="TableStyleMedium2" defaultPivotStyle="PivotStyleLight16"/>
  <colors>
    <mruColors>
      <color rgb="FF00FFCC"/>
      <color rgb="FF00CCFF"/>
      <color rgb="FFFF66FF"/>
      <color rgb="FFCCFF99"/>
      <color rgb="FF33CCFF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754792-63FF-4C0F-B468-628853F7F6B7}" name="Oferta" displayName="Oferta" ref="A1:K128" totalsRowShown="0" tableBorderDxfId="11">
  <autoFilter ref="A1:K128" xr:uid="{C4754792-63FF-4C0F-B468-628853F7F6B7}"/>
  <sortState xmlns:xlrd2="http://schemas.microsoft.com/office/spreadsheetml/2017/richdata2" ref="A2:K127">
    <sortCondition ref="C1:C127"/>
  </sortState>
  <tableColumns count="11">
    <tableColumn id="1" xr3:uid="{89134F45-72C4-4079-904F-C4C9EA2F62F4}" name="Ítems" dataDxfId="10"/>
    <tableColumn id="2" xr3:uid="{0F92DD10-826D-4E75-9562-ED5750389F37}" name="Código" dataDxfId="9"/>
    <tableColumn id="3" xr3:uid="{15BD2DD6-4252-46D2-81A3-6C7FE78E7468}" name="Municipio" dataDxfId="0"/>
    <tableColumn id="4" xr3:uid="{4F43C02C-BA7E-4388-A8C5-1968DA21CA19}" name="Categoría" dataDxfId="8"/>
    <tableColumn id="5" xr3:uid="{BA5D2676-C25F-42A7-AB97-C4196AF762C1}" name="Producto" dataDxfId="7"/>
    <tableColumn id="7" xr3:uid="{D1E28933-1E1D-4E00-9B23-046D6C72E475}" name="Presentación" dataDxfId="6"/>
    <tableColumn id="8" xr3:uid="{E4B1ED82-78D8-4E74-9954-CFE0C0E7FF1C}" name="Costo Pcc" dataDxfId="5"/>
    <tableColumn id="9" xr3:uid="{838D07B5-41D7-4EEF-8328-3CE23DB1EE2D}" name="% Logística" dataDxfId="4"/>
    <tableColumn id="10" xr3:uid="{1ABE4B72-6357-4BF5-A612-DEBF23EE0981}" name="%Transporte" dataDxfId="3"/>
    <tableColumn id="11" xr3:uid="{D22CC595-6EB6-4225-AF0A-B2A385AA5B76}" name="Precio Sugerido" dataDxfId="2"/>
    <tableColumn id="12" xr3:uid="{46F0F1D2-DF88-478A-8168-16D9247B8F1B}" name="Precio Final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</sheetPr>
  <dimension ref="A1:J20"/>
  <sheetViews>
    <sheetView workbookViewId="0"/>
  </sheetViews>
  <sheetFormatPr baseColWidth="10" defaultRowHeight="15" x14ac:dyDescent="0.25"/>
  <cols>
    <col min="3" max="3" width="19.5703125" bestFit="1" customWidth="1"/>
    <col min="5" max="5" width="18.5703125" bestFit="1" customWidth="1"/>
    <col min="7" max="8" width="12.7109375" style="4" customWidth="1"/>
    <col min="9" max="9" width="14.42578125" customWidth="1"/>
    <col min="10" max="10" width="14.5703125" customWidth="1"/>
  </cols>
  <sheetData>
    <row r="1" spans="1:10" x14ac:dyDescent="0.25">
      <c r="A1" s="10" t="s">
        <v>0</v>
      </c>
      <c r="B1" s="11" t="s">
        <v>1</v>
      </c>
      <c r="C1" s="10" t="s">
        <v>2</v>
      </c>
      <c r="D1" s="10" t="s">
        <v>3</v>
      </c>
      <c r="E1" s="10" t="s">
        <v>4</v>
      </c>
      <c r="F1" s="12" t="s">
        <v>6</v>
      </c>
      <c r="G1" s="13" t="s">
        <v>234</v>
      </c>
      <c r="H1" s="13" t="s">
        <v>233</v>
      </c>
      <c r="I1" s="14" t="s">
        <v>255</v>
      </c>
      <c r="J1" s="25" t="s">
        <v>257</v>
      </c>
    </row>
    <row r="2" spans="1:10" x14ac:dyDescent="0.25">
      <c r="A2" s="16" t="s">
        <v>39</v>
      </c>
      <c r="B2" s="16" t="s">
        <v>7</v>
      </c>
      <c r="C2" s="16" t="s">
        <v>16</v>
      </c>
      <c r="D2" s="16" t="s">
        <v>9</v>
      </c>
      <c r="E2" s="16" t="s">
        <v>17</v>
      </c>
      <c r="F2" s="17">
        <v>2250</v>
      </c>
      <c r="G2" s="18">
        <f>F2*5%</f>
        <v>112.5</v>
      </c>
      <c r="H2" s="18">
        <f>F2*5%</f>
        <v>112.5</v>
      </c>
      <c r="I2" s="19">
        <f>F2+G2+H2</f>
        <v>2475</v>
      </c>
      <c r="J2" s="20">
        <v>2500</v>
      </c>
    </row>
    <row r="3" spans="1:10" x14ac:dyDescent="0.25">
      <c r="A3" s="21" t="s">
        <v>40</v>
      </c>
      <c r="B3" s="21" t="s">
        <v>7</v>
      </c>
      <c r="C3" s="21" t="s">
        <v>37</v>
      </c>
      <c r="D3" s="21" t="s">
        <v>9</v>
      </c>
      <c r="E3" s="21" t="s">
        <v>38</v>
      </c>
      <c r="F3" s="17">
        <v>2250</v>
      </c>
      <c r="G3" s="18">
        <f t="shared" ref="G3:G19" si="0">F3*5%</f>
        <v>112.5</v>
      </c>
      <c r="H3" s="18">
        <f t="shared" ref="H3:H19" si="1">F3*5%</f>
        <v>112.5</v>
      </c>
      <c r="I3" s="19">
        <f t="shared" ref="I3:I19" si="2">F3+G3+H3</f>
        <v>2475</v>
      </c>
      <c r="J3" s="20">
        <v>2500</v>
      </c>
    </row>
    <row r="4" spans="1:10" x14ac:dyDescent="0.25">
      <c r="A4" s="21" t="s">
        <v>41</v>
      </c>
      <c r="B4" s="21" t="s">
        <v>7</v>
      </c>
      <c r="C4" s="21" t="s">
        <v>18</v>
      </c>
      <c r="D4" s="21" t="s">
        <v>9</v>
      </c>
      <c r="E4" s="21" t="s">
        <v>17</v>
      </c>
      <c r="F4" s="17">
        <v>2250</v>
      </c>
      <c r="G4" s="18">
        <f t="shared" si="0"/>
        <v>112.5</v>
      </c>
      <c r="H4" s="18">
        <f t="shared" si="1"/>
        <v>112.5</v>
      </c>
      <c r="I4" s="19">
        <f t="shared" si="2"/>
        <v>2475</v>
      </c>
      <c r="J4" s="20">
        <v>2500</v>
      </c>
    </row>
    <row r="5" spans="1:10" x14ac:dyDescent="0.25">
      <c r="A5" s="21" t="s">
        <v>42</v>
      </c>
      <c r="B5" s="21" t="s">
        <v>7</v>
      </c>
      <c r="C5" s="21" t="s">
        <v>19</v>
      </c>
      <c r="D5" s="16" t="s">
        <v>9</v>
      </c>
      <c r="E5" s="21" t="s">
        <v>17</v>
      </c>
      <c r="F5" s="17">
        <v>2250</v>
      </c>
      <c r="G5" s="18">
        <f t="shared" si="0"/>
        <v>112.5</v>
      </c>
      <c r="H5" s="18">
        <f t="shared" si="1"/>
        <v>112.5</v>
      </c>
      <c r="I5" s="19">
        <f t="shared" si="2"/>
        <v>2475</v>
      </c>
      <c r="J5" s="20">
        <v>2500</v>
      </c>
    </row>
    <row r="6" spans="1:10" x14ac:dyDescent="0.25">
      <c r="A6" s="21" t="s">
        <v>43</v>
      </c>
      <c r="B6" s="21" t="s">
        <v>7</v>
      </c>
      <c r="C6" s="21" t="s">
        <v>33</v>
      </c>
      <c r="D6" s="16" t="s">
        <v>9</v>
      </c>
      <c r="E6" s="21" t="s">
        <v>34</v>
      </c>
      <c r="F6" s="17">
        <v>2000</v>
      </c>
      <c r="G6" s="18">
        <f t="shared" si="0"/>
        <v>100</v>
      </c>
      <c r="H6" s="18">
        <f t="shared" si="1"/>
        <v>100</v>
      </c>
      <c r="I6" s="19">
        <f t="shared" si="2"/>
        <v>2200</v>
      </c>
      <c r="J6" s="20">
        <v>2500</v>
      </c>
    </row>
    <row r="7" spans="1:10" x14ac:dyDescent="0.25">
      <c r="A7" s="21" t="s">
        <v>44</v>
      </c>
      <c r="B7" s="21" t="s">
        <v>7</v>
      </c>
      <c r="C7" s="21" t="s">
        <v>33</v>
      </c>
      <c r="D7" s="16" t="s">
        <v>9</v>
      </c>
      <c r="E7" s="21" t="s">
        <v>35</v>
      </c>
      <c r="F7" s="17">
        <v>1000</v>
      </c>
      <c r="G7" s="18">
        <f t="shared" si="0"/>
        <v>50</v>
      </c>
      <c r="H7" s="18">
        <f t="shared" si="1"/>
        <v>50</v>
      </c>
      <c r="I7" s="19">
        <f t="shared" si="2"/>
        <v>1100</v>
      </c>
      <c r="J7" s="20">
        <v>1300</v>
      </c>
    </row>
    <row r="8" spans="1:10" x14ac:dyDescent="0.25">
      <c r="A8" s="21" t="s">
        <v>45</v>
      </c>
      <c r="B8" s="21" t="s">
        <v>7</v>
      </c>
      <c r="C8" s="21" t="s">
        <v>8</v>
      </c>
      <c r="D8" s="16" t="s">
        <v>9</v>
      </c>
      <c r="E8" s="21" t="s">
        <v>10</v>
      </c>
      <c r="F8" s="17">
        <v>2500</v>
      </c>
      <c r="G8" s="18">
        <f t="shared" si="0"/>
        <v>125</v>
      </c>
      <c r="H8" s="18">
        <f t="shared" si="1"/>
        <v>125</v>
      </c>
      <c r="I8" s="19">
        <f t="shared" si="2"/>
        <v>2750</v>
      </c>
      <c r="J8" s="20">
        <v>3000</v>
      </c>
    </row>
    <row r="9" spans="1:10" x14ac:dyDescent="0.25">
      <c r="A9" s="21" t="s">
        <v>46</v>
      </c>
      <c r="B9" s="21" t="s">
        <v>7</v>
      </c>
      <c r="C9" s="21" t="s">
        <v>26</v>
      </c>
      <c r="D9" s="16" t="s">
        <v>9</v>
      </c>
      <c r="E9" s="21" t="s">
        <v>27</v>
      </c>
      <c r="F9" s="17">
        <v>16000</v>
      </c>
      <c r="G9" s="18">
        <f t="shared" si="0"/>
        <v>800</v>
      </c>
      <c r="H9" s="18">
        <f t="shared" si="1"/>
        <v>800</v>
      </c>
      <c r="I9" s="19">
        <f t="shared" si="2"/>
        <v>17600</v>
      </c>
      <c r="J9" s="20">
        <v>18000</v>
      </c>
    </row>
    <row r="10" spans="1:10" x14ac:dyDescent="0.25">
      <c r="A10" s="21" t="s">
        <v>47</v>
      </c>
      <c r="B10" s="21" t="s">
        <v>7</v>
      </c>
      <c r="C10" s="21" t="s">
        <v>28</v>
      </c>
      <c r="D10" s="21" t="s">
        <v>9</v>
      </c>
      <c r="E10" s="21" t="s">
        <v>29</v>
      </c>
      <c r="F10" s="17">
        <v>5000</v>
      </c>
      <c r="G10" s="18">
        <f t="shared" si="0"/>
        <v>250</v>
      </c>
      <c r="H10" s="18">
        <f t="shared" si="1"/>
        <v>250</v>
      </c>
      <c r="I10" s="19">
        <f t="shared" si="2"/>
        <v>5500</v>
      </c>
      <c r="J10" s="20">
        <v>6000</v>
      </c>
    </row>
    <row r="11" spans="1:10" x14ac:dyDescent="0.25">
      <c r="A11" s="22" t="s">
        <v>48</v>
      </c>
      <c r="B11" s="22" t="s">
        <v>7</v>
      </c>
      <c r="C11" s="22" t="s">
        <v>28</v>
      </c>
      <c r="D11" s="21" t="s">
        <v>9</v>
      </c>
      <c r="E11" s="21" t="s">
        <v>13</v>
      </c>
      <c r="F11" s="17">
        <v>10000</v>
      </c>
      <c r="G11" s="18">
        <f t="shared" si="0"/>
        <v>500</v>
      </c>
      <c r="H11" s="18">
        <f t="shared" si="1"/>
        <v>500</v>
      </c>
      <c r="I11" s="19">
        <f t="shared" si="2"/>
        <v>11000</v>
      </c>
      <c r="J11" s="20">
        <v>12000</v>
      </c>
    </row>
    <row r="12" spans="1:10" x14ac:dyDescent="0.25">
      <c r="A12" s="21" t="s">
        <v>49</v>
      </c>
      <c r="B12" s="21" t="s">
        <v>7</v>
      </c>
      <c r="C12" s="21" t="s">
        <v>28</v>
      </c>
      <c r="D12" s="21" t="s">
        <v>9</v>
      </c>
      <c r="E12" s="21" t="s">
        <v>30</v>
      </c>
      <c r="F12" s="17">
        <v>20000</v>
      </c>
      <c r="G12" s="18">
        <f t="shared" si="0"/>
        <v>1000</v>
      </c>
      <c r="H12" s="18">
        <f t="shared" si="1"/>
        <v>1000</v>
      </c>
      <c r="I12" s="19">
        <f t="shared" si="2"/>
        <v>22000</v>
      </c>
      <c r="J12" s="20">
        <v>22000</v>
      </c>
    </row>
    <row r="13" spans="1:10" x14ac:dyDescent="0.25">
      <c r="A13" s="21" t="s">
        <v>50</v>
      </c>
      <c r="B13" s="21" t="s">
        <v>7</v>
      </c>
      <c r="C13" s="21" t="s">
        <v>24</v>
      </c>
      <c r="D13" s="21" t="s">
        <v>9</v>
      </c>
      <c r="E13" s="21" t="s">
        <v>25</v>
      </c>
      <c r="F13" s="17">
        <v>4500</v>
      </c>
      <c r="G13" s="18">
        <f t="shared" si="0"/>
        <v>225</v>
      </c>
      <c r="H13" s="18">
        <f t="shared" si="1"/>
        <v>225</v>
      </c>
      <c r="I13" s="19">
        <f t="shared" si="2"/>
        <v>4950</v>
      </c>
      <c r="J13" s="20">
        <v>5000</v>
      </c>
    </row>
    <row r="14" spans="1:10" x14ac:dyDescent="0.25">
      <c r="A14" s="21" t="s">
        <v>51</v>
      </c>
      <c r="B14" s="21" t="s">
        <v>7</v>
      </c>
      <c r="C14" s="21" t="s">
        <v>11</v>
      </c>
      <c r="D14" s="21" t="s">
        <v>12</v>
      </c>
      <c r="E14" s="21" t="s">
        <v>13</v>
      </c>
      <c r="F14" s="17">
        <v>5000</v>
      </c>
      <c r="G14" s="18">
        <f t="shared" si="0"/>
        <v>250</v>
      </c>
      <c r="H14" s="18">
        <f t="shared" si="1"/>
        <v>250</v>
      </c>
      <c r="I14" s="19">
        <f t="shared" si="2"/>
        <v>5500</v>
      </c>
      <c r="J14" s="20">
        <v>6000</v>
      </c>
    </row>
    <row r="15" spans="1:10" x14ac:dyDescent="0.25">
      <c r="A15" s="21" t="s">
        <v>52</v>
      </c>
      <c r="B15" s="21" t="s">
        <v>7</v>
      </c>
      <c r="C15" s="21" t="s">
        <v>11</v>
      </c>
      <c r="D15" s="21" t="s">
        <v>14</v>
      </c>
      <c r="E15" s="21" t="s">
        <v>15</v>
      </c>
      <c r="F15" s="17">
        <v>3500</v>
      </c>
      <c r="G15" s="18">
        <f t="shared" si="0"/>
        <v>175</v>
      </c>
      <c r="H15" s="18">
        <f t="shared" si="1"/>
        <v>175</v>
      </c>
      <c r="I15" s="19">
        <f t="shared" si="2"/>
        <v>3850</v>
      </c>
      <c r="J15" s="20">
        <v>4000</v>
      </c>
    </row>
    <row r="16" spans="1:10" x14ac:dyDescent="0.25">
      <c r="A16" s="21" t="s">
        <v>53</v>
      </c>
      <c r="B16" s="21" t="s">
        <v>7</v>
      </c>
      <c r="C16" s="21" t="s">
        <v>36</v>
      </c>
      <c r="D16" s="21" t="s">
        <v>9</v>
      </c>
      <c r="E16" s="21" t="s">
        <v>34</v>
      </c>
      <c r="F16" s="17">
        <v>2000</v>
      </c>
      <c r="G16" s="18">
        <f t="shared" si="0"/>
        <v>100</v>
      </c>
      <c r="H16" s="18">
        <f t="shared" si="1"/>
        <v>100</v>
      </c>
      <c r="I16" s="19">
        <f t="shared" si="2"/>
        <v>2200</v>
      </c>
      <c r="J16" s="20">
        <v>2500</v>
      </c>
    </row>
    <row r="17" spans="1:10" x14ac:dyDescent="0.25">
      <c r="A17" s="23" t="s">
        <v>54</v>
      </c>
      <c r="B17" s="23" t="s">
        <v>7</v>
      </c>
      <c r="C17" s="23" t="s">
        <v>22</v>
      </c>
      <c r="D17" s="23" t="s">
        <v>9</v>
      </c>
      <c r="E17" s="23" t="s">
        <v>21</v>
      </c>
      <c r="F17" s="24">
        <v>2500</v>
      </c>
      <c r="G17" s="18">
        <f t="shared" si="0"/>
        <v>125</v>
      </c>
      <c r="H17" s="18">
        <f t="shared" si="1"/>
        <v>125</v>
      </c>
      <c r="I17" s="19">
        <f t="shared" si="2"/>
        <v>2750</v>
      </c>
      <c r="J17" s="20">
        <v>3000</v>
      </c>
    </row>
    <row r="18" spans="1:10" x14ac:dyDescent="0.25">
      <c r="A18" s="21" t="s">
        <v>55</v>
      </c>
      <c r="B18" s="21" t="s">
        <v>7</v>
      </c>
      <c r="C18" s="21" t="s">
        <v>23</v>
      </c>
      <c r="D18" s="21" t="s">
        <v>9</v>
      </c>
      <c r="E18" s="21" t="s">
        <v>21</v>
      </c>
      <c r="F18" s="17">
        <v>2500</v>
      </c>
      <c r="G18" s="18">
        <f t="shared" si="0"/>
        <v>125</v>
      </c>
      <c r="H18" s="18">
        <f t="shared" si="1"/>
        <v>125</v>
      </c>
      <c r="I18" s="19">
        <f t="shared" si="2"/>
        <v>2750</v>
      </c>
      <c r="J18" s="20">
        <v>3000</v>
      </c>
    </row>
    <row r="19" spans="1:10" x14ac:dyDescent="0.25">
      <c r="A19" s="21" t="s">
        <v>56</v>
      </c>
      <c r="B19" s="21" t="s">
        <v>7</v>
      </c>
      <c r="C19" s="21" t="s">
        <v>20</v>
      </c>
      <c r="D19" s="21" t="s">
        <v>9</v>
      </c>
      <c r="E19" s="21" t="s">
        <v>21</v>
      </c>
      <c r="F19" s="17">
        <v>2500</v>
      </c>
      <c r="G19" s="18">
        <f t="shared" si="0"/>
        <v>125</v>
      </c>
      <c r="H19" s="18">
        <f t="shared" si="1"/>
        <v>125</v>
      </c>
      <c r="I19" s="19">
        <f t="shared" si="2"/>
        <v>2750</v>
      </c>
      <c r="J19" s="20">
        <v>3000</v>
      </c>
    </row>
    <row r="20" spans="1:10" x14ac:dyDescent="0.25">
      <c r="A20" s="1"/>
      <c r="B20" s="1"/>
      <c r="C20" s="1"/>
      <c r="D20" s="1"/>
      <c r="E20" s="1"/>
      <c r="F20" s="1"/>
      <c r="G20" s="3"/>
      <c r="H20" s="3"/>
      <c r="I20" s="1"/>
      <c r="J20" s="1"/>
    </row>
  </sheetData>
  <sortState xmlns:xlrd2="http://schemas.microsoft.com/office/spreadsheetml/2017/richdata2" ref="A2:H20">
    <sortCondition ref="C2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30A0"/>
  </sheetPr>
  <dimension ref="A1:J5"/>
  <sheetViews>
    <sheetView workbookViewId="0"/>
  </sheetViews>
  <sheetFormatPr baseColWidth="10" defaultRowHeight="15" x14ac:dyDescent="0.25"/>
  <cols>
    <col min="5" max="5" width="13.42578125" bestFit="1" customWidth="1"/>
    <col min="7" max="7" width="12.7109375" bestFit="1" customWidth="1"/>
    <col min="8" max="8" width="15.28515625" customWidth="1"/>
    <col min="9" max="9" width="12.7109375" bestFit="1" customWidth="1"/>
    <col min="10" max="10" width="13.7109375" bestFit="1" customWidth="1"/>
  </cols>
  <sheetData>
    <row r="1" spans="1:10" x14ac:dyDescent="0.25">
      <c r="A1" s="10" t="s">
        <v>0</v>
      </c>
      <c r="B1" s="11" t="s">
        <v>1</v>
      </c>
      <c r="C1" s="10" t="s">
        <v>2</v>
      </c>
      <c r="D1" s="10" t="s">
        <v>3</v>
      </c>
      <c r="E1" s="10" t="s">
        <v>4</v>
      </c>
      <c r="F1" s="12" t="s">
        <v>6</v>
      </c>
      <c r="G1" s="13" t="s">
        <v>234</v>
      </c>
      <c r="H1" s="13" t="s">
        <v>233</v>
      </c>
      <c r="I1" s="14" t="s">
        <v>5</v>
      </c>
      <c r="J1" s="25" t="s">
        <v>258</v>
      </c>
    </row>
    <row r="2" spans="1:10" x14ac:dyDescent="0.25">
      <c r="A2" s="16" t="s">
        <v>65</v>
      </c>
      <c r="B2" s="16" t="s">
        <v>57</v>
      </c>
      <c r="C2" s="16" t="s">
        <v>61</v>
      </c>
      <c r="D2" s="16" t="s">
        <v>9</v>
      </c>
      <c r="E2" s="16" t="s">
        <v>62</v>
      </c>
      <c r="F2" s="17">
        <v>2000</v>
      </c>
      <c r="G2" s="18">
        <f>F3*5%</f>
        <v>200</v>
      </c>
      <c r="H2" s="18">
        <f>F2*5%</f>
        <v>100</v>
      </c>
      <c r="I2" s="19">
        <f>F2+G2+H2</f>
        <v>2300</v>
      </c>
      <c r="J2" s="20">
        <v>2500</v>
      </c>
    </row>
    <row r="3" spans="1:10" x14ac:dyDescent="0.25">
      <c r="A3" s="16" t="s">
        <v>66</v>
      </c>
      <c r="B3" s="16" t="s">
        <v>57</v>
      </c>
      <c r="C3" s="16" t="s">
        <v>58</v>
      </c>
      <c r="D3" s="16" t="s">
        <v>12</v>
      </c>
      <c r="E3" s="16" t="s">
        <v>59</v>
      </c>
      <c r="F3" s="17">
        <v>4000</v>
      </c>
      <c r="G3" s="18">
        <f>F3*5%</f>
        <v>200</v>
      </c>
      <c r="H3" s="18">
        <f>F3*5%</f>
        <v>200</v>
      </c>
      <c r="I3" s="19">
        <f>F3+G3+H3</f>
        <v>4400</v>
      </c>
      <c r="J3" s="20">
        <v>5000</v>
      </c>
    </row>
    <row r="4" spans="1:10" x14ac:dyDescent="0.25">
      <c r="A4" s="16" t="s">
        <v>67</v>
      </c>
      <c r="B4" s="16" t="s">
        <v>57</v>
      </c>
      <c r="C4" s="16" t="s">
        <v>58</v>
      </c>
      <c r="D4" s="16" t="s">
        <v>14</v>
      </c>
      <c r="E4" s="16" t="s">
        <v>60</v>
      </c>
      <c r="F4" s="17">
        <v>2000</v>
      </c>
      <c r="G4" s="18">
        <f>F4*5%</f>
        <v>100</v>
      </c>
      <c r="H4" s="18">
        <f>F4*5%</f>
        <v>100</v>
      </c>
      <c r="I4" s="19">
        <v>2500</v>
      </c>
      <c r="J4" s="20">
        <v>2500</v>
      </c>
    </row>
    <row r="5" spans="1:10" x14ac:dyDescent="0.25">
      <c r="A5" s="16" t="s">
        <v>64</v>
      </c>
      <c r="B5" s="16" t="s">
        <v>57</v>
      </c>
      <c r="C5" s="16" t="s">
        <v>63</v>
      </c>
      <c r="D5" s="16" t="s">
        <v>9</v>
      </c>
      <c r="E5" s="16" t="s">
        <v>32</v>
      </c>
      <c r="F5" s="17">
        <v>1500</v>
      </c>
      <c r="G5" s="18">
        <f>F5*5%</f>
        <v>75</v>
      </c>
      <c r="H5" s="18">
        <f>F5*5%</f>
        <v>75</v>
      </c>
      <c r="I5" s="19">
        <f>F5+G5+H5</f>
        <v>1650</v>
      </c>
      <c r="J5" s="20">
        <v>1600</v>
      </c>
    </row>
  </sheetData>
  <sortState xmlns:xlrd2="http://schemas.microsoft.com/office/spreadsheetml/2017/richdata2" ref="A2:H5">
    <sortCondition ref="C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J15"/>
  <sheetViews>
    <sheetView workbookViewId="0"/>
  </sheetViews>
  <sheetFormatPr baseColWidth="10" defaultRowHeight="15" x14ac:dyDescent="0.25"/>
  <cols>
    <col min="3" max="3" width="20" bestFit="1" customWidth="1"/>
    <col min="5" max="5" width="12.5703125" bestFit="1" customWidth="1"/>
    <col min="7" max="7" width="15.42578125" customWidth="1"/>
    <col min="8" max="8" width="14.28515625" customWidth="1"/>
    <col min="9" max="9" width="17.28515625" bestFit="1" customWidth="1"/>
    <col min="10" max="10" width="16.7109375" bestFit="1" customWidth="1"/>
  </cols>
  <sheetData>
    <row r="1" spans="1:10" x14ac:dyDescent="0.25">
      <c r="A1" s="10" t="s">
        <v>0</v>
      </c>
      <c r="B1" s="11" t="s">
        <v>1</v>
      </c>
      <c r="C1" s="10" t="s">
        <v>2</v>
      </c>
      <c r="D1" s="10" t="s">
        <v>3</v>
      </c>
      <c r="E1" s="10" t="s">
        <v>4</v>
      </c>
      <c r="F1" s="10" t="s">
        <v>6</v>
      </c>
      <c r="G1" s="26" t="s">
        <v>233</v>
      </c>
      <c r="H1" s="10" t="s">
        <v>235</v>
      </c>
      <c r="I1" s="27" t="s">
        <v>255</v>
      </c>
      <c r="J1" s="26" t="s">
        <v>256</v>
      </c>
    </row>
    <row r="2" spans="1:10" x14ac:dyDescent="0.25">
      <c r="A2" s="16" t="s">
        <v>86</v>
      </c>
      <c r="B2" s="16" t="s">
        <v>68</v>
      </c>
      <c r="C2" s="16" t="s">
        <v>73</v>
      </c>
      <c r="D2" s="16" t="s">
        <v>9</v>
      </c>
      <c r="E2" s="16" t="s">
        <v>13</v>
      </c>
      <c r="F2" s="17">
        <v>2000</v>
      </c>
      <c r="G2" s="28">
        <f>F2*5%</f>
        <v>100</v>
      </c>
      <c r="H2" s="17">
        <f>F2*5%</f>
        <v>100</v>
      </c>
      <c r="I2" s="29">
        <f>F2+G2+H2</f>
        <v>2200</v>
      </c>
      <c r="J2" s="15">
        <v>2500</v>
      </c>
    </row>
    <row r="3" spans="1:10" x14ac:dyDescent="0.25">
      <c r="A3" s="21" t="s">
        <v>87</v>
      </c>
      <c r="B3" s="21" t="s">
        <v>68</v>
      </c>
      <c r="C3" s="21" t="s">
        <v>84</v>
      </c>
      <c r="D3" s="16" t="s">
        <v>9</v>
      </c>
      <c r="E3" s="21" t="s">
        <v>85</v>
      </c>
      <c r="F3" s="17">
        <v>2500</v>
      </c>
      <c r="G3" s="28">
        <f t="shared" ref="G3:G15" si="0">F3*5%</f>
        <v>125</v>
      </c>
      <c r="H3" s="17">
        <f t="shared" ref="H3:H15" si="1">F3*5%</f>
        <v>125</v>
      </c>
      <c r="I3" s="29">
        <f t="shared" ref="I3:I15" si="2">F3+G3+H3</f>
        <v>2750</v>
      </c>
      <c r="J3" s="15">
        <v>3000</v>
      </c>
    </row>
    <row r="4" spans="1:10" x14ac:dyDescent="0.25">
      <c r="A4" s="21" t="s">
        <v>88</v>
      </c>
      <c r="B4" s="21" t="s">
        <v>68</v>
      </c>
      <c r="C4" s="21" t="s">
        <v>70</v>
      </c>
      <c r="D4" s="16" t="s">
        <v>31</v>
      </c>
      <c r="E4" s="21" t="s">
        <v>30</v>
      </c>
      <c r="F4" s="17">
        <v>3200</v>
      </c>
      <c r="G4" s="28">
        <f t="shared" si="0"/>
        <v>160</v>
      </c>
      <c r="H4" s="17">
        <f t="shared" si="1"/>
        <v>160</v>
      </c>
      <c r="I4" s="29">
        <f t="shared" si="2"/>
        <v>3520</v>
      </c>
      <c r="J4" s="15">
        <v>3500</v>
      </c>
    </row>
    <row r="5" spans="1:10" x14ac:dyDescent="0.25">
      <c r="A5" s="23" t="s">
        <v>89</v>
      </c>
      <c r="B5" s="23" t="s">
        <v>68</v>
      </c>
      <c r="C5" s="23" t="s">
        <v>79</v>
      </c>
      <c r="D5" s="30" t="s">
        <v>9</v>
      </c>
      <c r="E5" s="23" t="s">
        <v>38</v>
      </c>
      <c r="F5" s="24">
        <v>2000</v>
      </c>
      <c r="G5" s="28">
        <f t="shared" si="0"/>
        <v>100</v>
      </c>
      <c r="H5" s="17">
        <f t="shared" si="1"/>
        <v>100</v>
      </c>
      <c r="I5" s="29">
        <f t="shared" si="2"/>
        <v>2200</v>
      </c>
      <c r="J5" s="15">
        <v>2500</v>
      </c>
    </row>
    <row r="6" spans="1:10" x14ac:dyDescent="0.25">
      <c r="A6" s="21" t="s">
        <v>90</v>
      </c>
      <c r="B6" s="21" t="s">
        <v>68</v>
      </c>
      <c r="C6" s="21" t="s">
        <v>76</v>
      </c>
      <c r="D6" s="21" t="s">
        <v>31</v>
      </c>
      <c r="E6" s="21" t="s">
        <v>75</v>
      </c>
      <c r="F6" s="17">
        <v>1500</v>
      </c>
      <c r="G6" s="28">
        <f t="shared" si="0"/>
        <v>75</v>
      </c>
      <c r="H6" s="17">
        <f t="shared" si="1"/>
        <v>75</v>
      </c>
      <c r="I6" s="29">
        <f t="shared" si="2"/>
        <v>1650</v>
      </c>
      <c r="J6" s="15">
        <v>1800</v>
      </c>
    </row>
    <row r="7" spans="1:10" x14ac:dyDescent="0.25">
      <c r="A7" s="21" t="s">
        <v>91</v>
      </c>
      <c r="B7" s="21" t="s">
        <v>68</v>
      </c>
      <c r="C7" s="21" t="s">
        <v>69</v>
      </c>
      <c r="D7" s="21" t="s">
        <v>31</v>
      </c>
      <c r="E7" s="21" t="s">
        <v>30</v>
      </c>
      <c r="F7" s="17">
        <v>3200</v>
      </c>
      <c r="G7" s="28">
        <f t="shared" si="0"/>
        <v>160</v>
      </c>
      <c r="H7" s="17">
        <f t="shared" si="1"/>
        <v>160</v>
      </c>
      <c r="I7" s="29">
        <f t="shared" si="2"/>
        <v>3520</v>
      </c>
      <c r="J7" s="15">
        <v>4000</v>
      </c>
    </row>
    <row r="8" spans="1:10" x14ac:dyDescent="0.25">
      <c r="A8" s="21" t="s">
        <v>92</v>
      </c>
      <c r="B8" s="21" t="s">
        <v>68</v>
      </c>
      <c r="C8" s="21" t="s">
        <v>72</v>
      </c>
      <c r="D8" s="21" t="s">
        <v>9</v>
      </c>
      <c r="E8" s="21" t="s">
        <v>13</v>
      </c>
      <c r="F8" s="17">
        <v>2000</v>
      </c>
      <c r="G8" s="28">
        <f t="shared" si="0"/>
        <v>100</v>
      </c>
      <c r="H8" s="17">
        <f t="shared" si="1"/>
        <v>100</v>
      </c>
      <c r="I8" s="29">
        <f t="shared" si="2"/>
        <v>2200</v>
      </c>
      <c r="J8" s="15">
        <v>2500</v>
      </c>
    </row>
    <row r="9" spans="1:10" x14ac:dyDescent="0.25">
      <c r="A9" s="21" t="s">
        <v>93</v>
      </c>
      <c r="B9" s="21" t="s">
        <v>68</v>
      </c>
      <c r="C9" s="21" t="s">
        <v>83</v>
      </c>
      <c r="D9" s="21" t="s">
        <v>9</v>
      </c>
      <c r="E9" s="21" t="s">
        <v>32</v>
      </c>
      <c r="F9" s="17">
        <v>2500</v>
      </c>
      <c r="G9" s="28">
        <f t="shared" si="0"/>
        <v>125</v>
      </c>
      <c r="H9" s="17">
        <f t="shared" si="1"/>
        <v>125</v>
      </c>
      <c r="I9" s="29">
        <f t="shared" si="2"/>
        <v>2750</v>
      </c>
      <c r="J9" s="15">
        <v>3000</v>
      </c>
    </row>
    <row r="10" spans="1:10" x14ac:dyDescent="0.25">
      <c r="A10" s="21" t="s">
        <v>259</v>
      </c>
      <c r="B10" s="21" t="s">
        <v>68</v>
      </c>
      <c r="C10" s="21" t="s">
        <v>71</v>
      </c>
      <c r="D10" s="21" t="s">
        <v>31</v>
      </c>
      <c r="E10" s="21" t="s">
        <v>29</v>
      </c>
      <c r="F10" s="17">
        <v>2500</v>
      </c>
      <c r="G10" s="28">
        <f t="shared" si="0"/>
        <v>125</v>
      </c>
      <c r="H10" s="17">
        <f t="shared" si="1"/>
        <v>125</v>
      </c>
      <c r="I10" s="29">
        <f t="shared" si="2"/>
        <v>2750</v>
      </c>
      <c r="J10" s="15">
        <v>3000</v>
      </c>
    </row>
    <row r="11" spans="1:10" x14ac:dyDescent="0.25">
      <c r="A11" s="23" t="s">
        <v>260</v>
      </c>
      <c r="B11" s="23" t="s">
        <v>68</v>
      </c>
      <c r="C11" s="23" t="s">
        <v>78</v>
      </c>
      <c r="D11" s="23" t="s">
        <v>9</v>
      </c>
      <c r="E11" s="23" t="s">
        <v>38</v>
      </c>
      <c r="F11" s="24">
        <v>2000</v>
      </c>
      <c r="G11" s="28">
        <f t="shared" si="0"/>
        <v>100</v>
      </c>
      <c r="H11" s="17">
        <f t="shared" si="1"/>
        <v>100</v>
      </c>
      <c r="I11" s="29">
        <f t="shared" si="2"/>
        <v>2200</v>
      </c>
      <c r="J11" s="15">
        <v>2300</v>
      </c>
    </row>
    <row r="12" spans="1:10" x14ac:dyDescent="0.25">
      <c r="A12" s="21" t="s">
        <v>94</v>
      </c>
      <c r="B12" s="21" t="s">
        <v>68</v>
      </c>
      <c r="C12" s="21" t="s">
        <v>82</v>
      </c>
      <c r="D12" s="21" t="s">
        <v>9</v>
      </c>
      <c r="E12" s="21" t="s">
        <v>81</v>
      </c>
      <c r="F12" s="17">
        <v>3000</v>
      </c>
      <c r="G12" s="28">
        <f t="shared" si="0"/>
        <v>150</v>
      </c>
      <c r="H12" s="17">
        <f t="shared" si="1"/>
        <v>150</v>
      </c>
      <c r="I12" s="29">
        <f t="shared" si="2"/>
        <v>3300</v>
      </c>
      <c r="J12" s="15">
        <v>3500</v>
      </c>
    </row>
    <row r="13" spans="1:10" x14ac:dyDescent="0.25">
      <c r="A13" s="21" t="s">
        <v>261</v>
      </c>
      <c r="B13" s="21" t="s">
        <v>68</v>
      </c>
      <c r="C13" s="21" t="s">
        <v>74</v>
      </c>
      <c r="D13" s="21" t="s">
        <v>31</v>
      </c>
      <c r="E13" s="21" t="s">
        <v>75</v>
      </c>
      <c r="F13" s="17">
        <v>1500</v>
      </c>
      <c r="G13" s="28">
        <f t="shared" si="0"/>
        <v>75</v>
      </c>
      <c r="H13" s="17">
        <f t="shared" si="1"/>
        <v>75</v>
      </c>
      <c r="I13" s="29">
        <f t="shared" si="2"/>
        <v>1650</v>
      </c>
      <c r="J13" s="15">
        <v>1800</v>
      </c>
    </row>
    <row r="14" spans="1:10" x14ac:dyDescent="0.25">
      <c r="A14" s="21" t="s">
        <v>95</v>
      </c>
      <c r="B14" s="21" t="s">
        <v>68</v>
      </c>
      <c r="C14" s="21" t="s">
        <v>77</v>
      </c>
      <c r="D14" s="21" t="s">
        <v>31</v>
      </c>
      <c r="E14" s="21" t="s">
        <v>30</v>
      </c>
      <c r="F14" s="17">
        <v>2500</v>
      </c>
      <c r="G14" s="28">
        <f t="shared" si="0"/>
        <v>125</v>
      </c>
      <c r="H14" s="17">
        <f t="shared" si="1"/>
        <v>125</v>
      </c>
      <c r="I14" s="29">
        <f t="shared" si="2"/>
        <v>2750</v>
      </c>
      <c r="J14" s="15">
        <v>3000</v>
      </c>
    </row>
    <row r="15" spans="1:10" x14ac:dyDescent="0.25">
      <c r="A15" s="21" t="s">
        <v>262</v>
      </c>
      <c r="B15" s="21" t="s">
        <v>68</v>
      </c>
      <c r="C15" s="21" t="s">
        <v>80</v>
      </c>
      <c r="D15" s="21" t="s">
        <v>9</v>
      </c>
      <c r="E15" s="21" t="s">
        <v>81</v>
      </c>
      <c r="F15" s="17">
        <v>3000</v>
      </c>
      <c r="G15" s="28">
        <f t="shared" si="0"/>
        <v>150</v>
      </c>
      <c r="H15" s="17">
        <f t="shared" si="1"/>
        <v>150</v>
      </c>
      <c r="I15" s="29">
        <f t="shared" si="2"/>
        <v>3300</v>
      </c>
      <c r="J15" s="15">
        <v>3500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J44"/>
  <sheetViews>
    <sheetView workbookViewId="0"/>
  </sheetViews>
  <sheetFormatPr baseColWidth="10" defaultRowHeight="15" x14ac:dyDescent="0.25"/>
  <cols>
    <col min="3" max="3" width="33.7109375" customWidth="1"/>
    <col min="4" max="4" width="20.28515625" customWidth="1"/>
    <col min="6" max="6" width="16.7109375" customWidth="1"/>
    <col min="10" max="10" width="14.28515625" customWidth="1"/>
  </cols>
  <sheetData>
    <row r="1" spans="1:10" ht="30" x14ac:dyDescent="0.25">
      <c r="A1" s="35" t="s">
        <v>0</v>
      </c>
      <c r="B1" s="36" t="s">
        <v>1</v>
      </c>
      <c r="C1" s="35" t="s">
        <v>2</v>
      </c>
      <c r="D1" s="35" t="s">
        <v>3</v>
      </c>
      <c r="E1" s="35" t="s">
        <v>4</v>
      </c>
      <c r="F1" s="35" t="s">
        <v>6</v>
      </c>
      <c r="G1" s="35" t="s">
        <v>264</v>
      </c>
      <c r="H1" s="35" t="s">
        <v>233</v>
      </c>
      <c r="I1" s="37" t="s">
        <v>5</v>
      </c>
      <c r="J1" s="38" t="s">
        <v>263</v>
      </c>
    </row>
    <row r="2" spans="1:10" x14ac:dyDescent="0.25">
      <c r="A2" s="39" t="s">
        <v>141</v>
      </c>
      <c r="B2" s="39" t="s">
        <v>96</v>
      </c>
      <c r="C2" s="39" t="s">
        <v>99</v>
      </c>
      <c r="D2" s="39" t="s">
        <v>9</v>
      </c>
      <c r="E2" s="39" t="s">
        <v>100</v>
      </c>
      <c r="F2" s="40">
        <v>8000</v>
      </c>
      <c r="G2" s="41">
        <f>F2*5%</f>
        <v>400</v>
      </c>
      <c r="H2" s="41">
        <f>F2*5%</f>
        <v>400</v>
      </c>
      <c r="I2" s="42">
        <f>F2+G2+H2</f>
        <v>8800</v>
      </c>
      <c r="J2" s="43">
        <v>9000</v>
      </c>
    </row>
    <row r="3" spans="1:10" x14ac:dyDescent="0.25">
      <c r="A3" s="39" t="s">
        <v>142</v>
      </c>
      <c r="B3" s="39" t="s">
        <v>96</v>
      </c>
      <c r="C3" s="39" t="s">
        <v>97</v>
      </c>
      <c r="D3" s="39" t="s">
        <v>9</v>
      </c>
      <c r="E3" s="39" t="s">
        <v>98</v>
      </c>
      <c r="F3" s="40">
        <v>8500</v>
      </c>
      <c r="G3" s="41">
        <f t="shared" ref="G3:G44" si="0">F3*5%</f>
        <v>425</v>
      </c>
      <c r="H3" s="41">
        <f t="shared" ref="H3:H44" si="1">F3*5%</f>
        <v>425</v>
      </c>
      <c r="I3" s="42">
        <f t="shared" ref="I3:I44" si="2">F3+G3+H3</f>
        <v>9350</v>
      </c>
      <c r="J3" s="42">
        <v>9500</v>
      </c>
    </row>
    <row r="4" spans="1:10" x14ac:dyDescent="0.25">
      <c r="A4" s="39" t="s">
        <v>143</v>
      </c>
      <c r="B4" s="39" t="s">
        <v>96</v>
      </c>
      <c r="C4" s="39" t="s">
        <v>118</v>
      </c>
      <c r="D4" s="39" t="s">
        <v>12</v>
      </c>
      <c r="E4" s="39" t="s">
        <v>119</v>
      </c>
      <c r="F4" s="40">
        <v>4500</v>
      </c>
      <c r="G4" s="41">
        <f t="shared" si="0"/>
        <v>225</v>
      </c>
      <c r="H4" s="41">
        <f t="shared" si="1"/>
        <v>225</v>
      </c>
      <c r="I4" s="42">
        <f t="shared" si="2"/>
        <v>4950</v>
      </c>
      <c r="J4" s="42">
        <v>5500</v>
      </c>
    </row>
    <row r="5" spans="1:10" ht="30" x14ac:dyDescent="0.25">
      <c r="A5" s="39" t="s">
        <v>144</v>
      </c>
      <c r="B5" s="39" t="s">
        <v>96</v>
      </c>
      <c r="C5" s="39" t="s">
        <v>118</v>
      </c>
      <c r="D5" s="39" t="s">
        <v>14</v>
      </c>
      <c r="E5" s="39" t="s">
        <v>120</v>
      </c>
      <c r="F5" s="40">
        <v>2500</v>
      </c>
      <c r="G5" s="41">
        <f t="shared" si="0"/>
        <v>125</v>
      </c>
      <c r="H5" s="41">
        <f t="shared" si="1"/>
        <v>125</v>
      </c>
      <c r="I5" s="42">
        <f t="shared" si="2"/>
        <v>2750</v>
      </c>
      <c r="J5" s="42">
        <v>3000</v>
      </c>
    </row>
    <row r="6" spans="1:10" x14ac:dyDescent="0.25">
      <c r="A6" s="39" t="s">
        <v>145</v>
      </c>
      <c r="B6" s="39" t="s">
        <v>96</v>
      </c>
      <c r="C6" s="39" t="s">
        <v>125</v>
      </c>
      <c r="D6" s="39" t="s">
        <v>9</v>
      </c>
      <c r="E6" s="39" t="s">
        <v>81</v>
      </c>
      <c r="F6" s="40">
        <v>5000</v>
      </c>
      <c r="G6" s="41">
        <f t="shared" si="0"/>
        <v>250</v>
      </c>
      <c r="H6" s="41">
        <f t="shared" si="1"/>
        <v>250</v>
      </c>
      <c r="I6" s="42">
        <f t="shared" si="2"/>
        <v>5500</v>
      </c>
      <c r="J6" s="42">
        <v>6000</v>
      </c>
    </row>
    <row r="7" spans="1:10" x14ac:dyDescent="0.25">
      <c r="A7" s="39" t="s">
        <v>146</v>
      </c>
      <c r="B7" s="39" t="s">
        <v>96</v>
      </c>
      <c r="C7" s="39" t="s">
        <v>138</v>
      </c>
      <c r="D7" s="39" t="s">
        <v>9</v>
      </c>
      <c r="E7" s="39" t="s">
        <v>139</v>
      </c>
      <c r="F7" s="40">
        <v>9000</v>
      </c>
      <c r="G7" s="41">
        <f t="shared" si="0"/>
        <v>450</v>
      </c>
      <c r="H7" s="41">
        <f t="shared" si="1"/>
        <v>450</v>
      </c>
      <c r="I7" s="42">
        <f t="shared" si="2"/>
        <v>9900</v>
      </c>
      <c r="J7" s="42">
        <v>10000</v>
      </c>
    </row>
    <row r="8" spans="1:10" x14ac:dyDescent="0.25">
      <c r="A8" s="39" t="s">
        <v>147</v>
      </c>
      <c r="B8" s="39" t="s">
        <v>96</v>
      </c>
      <c r="C8" s="39" t="s">
        <v>138</v>
      </c>
      <c r="D8" s="39" t="s">
        <v>9</v>
      </c>
      <c r="E8" s="39" t="s">
        <v>140</v>
      </c>
      <c r="F8" s="40">
        <v>4500</v>
      </c>
      <c r="G8" s="41">
        <f t="shared" si="0"/>
        <v>225</v>
      </c>
      <c r="H8" s="41">
        <f t="shared" si="1"/>
        <v>225</v>
      </c>
      <c r="I8" s="42">
        <f t="shared" si="2"/>
        <v>4950</v>
      </c>
      <c r="J8" s="42">
        <v>5000</v>
      </c>
    </row>
    <row r="9" spans="1:10" x14ac:dyDescent="0.25">
      <c r="A9" s="39" t="s">
        <v>148</v>
      </c>
      <c r="B9" s="39" t="s">
        <v>96</v>
      </c>
      <c r="C9" s="39" t="s">
        <v>123</v>
      </c>
      <c r="D9" s="39" t="s">
        <v>9</v>
      </c>
      <c r="E9" s="39" t="s">
        <v>81</v>
      </c>
      <c r="F9" s="40">
        <v>2000</v>
      </c>
      <c r="G9" s="41">
        <f t="shared" si="0"/>
        <v>100</v>
      </c>
      <c r="H9" s="41">
        <f t="shared" si="1"/>
        <v>100</v>
      </c>
      <c r="I9" s="42">
        <f t="shared" si="2"/>
        <v>2200</v>
      </c>
      <c r="J9" s="42">
        <v>2500</v>
      </c>
    </row>
    <row r="10" spans="1:10" x14ac:dyDescent="0.25">
      <c r="A10" s="39" t="s">
        <v>149</v>
      </c>
      <c r="B10" s="39" t="s">
        <v>96</v>
      </c>
      <c r="C10" s="39" t="s">
        <v>102</v>
      </c>
      <c r="D10" s="39" t="s">
        <v>9</v>
      </c>
      <c r="E10" s="39" t="s">
        <v>32</v>
      </c>
      <c r="F10" s="40">
        <v>8500</v>
      </c>
      <c r="G10" s="41">
        <f t="shared" si="0"/>
        <v>425</v>
      </c>
      <c r="H10" s="41">
        <f t="shared" si="1"/>
        <v>425</v>
      </c>
      <c r="I10" s="42">
        <f t="shared" si="2"/>
        <v>9350</v>
      </c>
      <c r="J10" s="42">
        <v>9500</v>
      </c>
    </row>
    <row r="11" spans="1:10" x14ac:dyDescent="0.25">
      <c r="A11" s="39" t="s">
        <v>150</v>
      </c>
      <c r="B11" s="39" t="s">
        <v>96</v>
      </c>
      <c r="C11" s="39" t="s">
        <v>127</v>
      </c>
      <c r="D11" s="39" t="s">
        <v>9</v>
      </c>
      <c r="E11" s="39" t="s">
        <v>128</v>
      </c>
      <c r="F11" s="40">
        <v>2000</v>
      </c>
      <c r="G11" s="41">
        <f t="shared" si="0"/>
        <v>100</v>
      </c>
      <c r="H11" s="41">
        <f t="shared" si="1"/>
        <v>100</v>
      </c>
      <c r="I11" s="42">
        <f t="shared" si="2"/>
        <v>2200</v>
      </c>
      <c r="J11" s="42">
        <v>2500</v>
      </c>
    </row>
    <row r="12" spans="1:10" x14ac:dyDescent="0.25">
      <c r="A12" s="39" t="s">
        <v>151</v>
      </c>
      <c r="B12" s="39" t="s">
        <v>96</v>
      </c>
      <c r="C12" s="39" t="s">
        <v>135</v>
      </c>
      <c r="D12" s="39" t="s">
        <v>9</v>
      </c>
      <c r="E12" s="39" t="s">
        <v>136</v>
      </c>
      <c r="F12" s="40">
        <v>12000</v>
      </c>
      <c r="G12" s="41">
        <f t="shared" si="0"/>
        <v>600</v>
      </c>
      <c r="H12" s="41">
        <f t="shared" si="1"/>
        <v>600</v>
      </c>
      <c r="I12" s="42">
        <f t="shared" si="2"/>
        <v>13200</v>
      </c>
      <c r="J12" s="42">
        <v>13000</v>
      </c>
    </row>
    <row r="13" spans="1:10" x14ac:dyDescent="0.25">
      <c r="A13" s="39" t="s">
        <v>152</v>
      </c>
      <c r="B13" s="39" t="s">
        <v>96</v>
      </c>
      <c r="C13" s="39" t="s">
        <v>135</v>
      </c>
      <c r="D13" s="39" t="s">
        <v>9</v>
      </c>
      <c r="E13" s="39" t="s">
        <v>132</v>
      </c>
      <c r="F13" s="40">
        <v>6000</v>
      </c>
      <c r="G13" s="41">
        <f t="shared" si="0"/>
        <v>300</v>
      </c>
      <c r="H13" s="41">
        <f t="shared" si="1"/>
        <v>300</v>
      </c>
      <c r="I13" s="42">
        <f t="shared" si="2"/>
        <v>6600</v>
      </c>
      <c r="J13" s="42">
        <v>6600</v>
      </c>
    </row>
    <row r="14" spans="1:10" x14ac:dyDescent="0.25">
      <c r="A14" s="39" t="s">
        <v>153</v>
      </c>
      <c r="B14" s="39" t="s">
        <v>96</v>
      </c>
      <c r="C14" s="39" t="s">
        <v>137</v>
      </c>
      <c r="D14" s="39" t="s">
        <v>9</v>
      </c>
      <c r="E14" s="39" t="s">
        <v>132</v>
      </c>
      <c r="F14" s="40">
        <v>6000</v>
      </c>
      <c r="G14" s="41">
        <f t="shared" si="0"/>
        <v>300</v>
      </c>
      <c r="H14" s="41">
        <f t="shared" si="1"/>
        <v>300</v>
      </c>
      <c r="I14" s="42">
        <f t="shared" si="2"/>
        <v>6600</v>
      </c>
      <c r="J14" s="42">
        <v>6600</v>
      </c>
    </row>
    <row r="15" spans="1:10" x14ac:dyDescent="0.25">
      <c r="A15" s="39" t="s">
        <v>154</v>
      </c>
      <c r="B15" s="39" t="s">
        <v>96</v>
      </c>
      <c r="C15" s="39" t="s">
        <v>137</v>
      </c>
      <c r="D15" s="39" t="s">
        <v>9</v>
      </c>
      <c r="E15" s="39" t="s">
        <v>136</v>
      </c>
      <c r="F15" s="40">
        <v>12000</v>
      </c>
      <c r="G15" s="41">
        <f t="shared" si="0"/>
        <v>600</v>
      </c>
      <c r="H15" s="41">
        <f t="shared" si="1"/>
        <v>600</v>
      </c>
      <c r="I15" s="42">
        <f t="shared" si="2"/>
        <v>13200</v>
      </c>
      <c r="J15" s="42">
        <v>13000</v>
      </c>
    </row>
    <row r="16" spans="1:10" x14ac:dyDescent="0.25">
      <c r="A16" s="39" t="s">
        <v>155</v>
      </c>
      <c r="B16" s="39" t="s">
        <v>96</v>
      </c>
      <c r="C16" s="39" t="s">
        <v>134</v>
      </c>
      <c r="D16" s="39" t="s">
        <v>9</v>
      </c>
      <c r="E16" s="39" t="s">
        <v>114</v>
      </c>
      <c r="F16" s="40">
        <v>10000</v>
      </c>
      <c r="G16" s="41">
        <f t="shared" si="0"/>
        <v>500</v>
      </c>
      <c r="H16" s="41">
        <f t="shared" si="1"/>
        <v>500</v>
      </c>
      <c r="I16" s="42">
        <f t="shared" si="2"/>
        <v>11000</v>
      </c>
      <c r="J16" s="42">
        <v>11000</v>
      </c>
    </row>
    <row r="17" spans="1:10" x14ac:dyDescent="0.25">
      <c r="A17" s="39" t="s">
        <v>156</v>
      </c>
      <c r="B17" s="39" t="s">
        <v>96</v>
      </c>
      <c r="C17" s="39" t="s">
        <v>133</v>
      </c>
      <c r="D17" s="39" t="s">
        <v>9</v>
      </c>
      <c r="E17" s="39" t="s">
        <v>114</v>
      </c>
      <c r="F17" s="40">
        <v>12000</v>
      </c>
      <c r="G17" s="41">
        <f t="shared" si="0"/>
        <v>600</v>
      </c>
      <c r="H17" s="41">
        <f t="shared" si="1"/>
        <v>600</v>
      </c>
      <c r="I17" s="42">
        <f t="shared" si="2"/>
        <v>13200</v>
      </c>
      <c r="J17" s="42">
        <v>13500</v>
      </c>
    </row>
    <row r="18" spans="1:10" x14ac:dyDescent="0.25">
      <c r="A18" s="39" t="s">
        <v>157</v>
      </c>
      <c r="B18" s="39" t="s">
        <v>96</v>
      </c>
      <c r="C18" s="39" t="s">
        <v>133</v>
      </c>
      <c r="D18" s="39" t="s">
        <v>9</v>
      </c>
      <c r="E18" s="39" t="s">
        <v>132</v>
      </c>
      <c r="F18" s="40">
        <v>6000</v>
      </c>
      <c r="G18" s="41">
        <f t="shared" si="0"/>
        <v>300</v>
      </c>
      <c r="H18" s="41">
        <f t="shared" si="1"/>
        <v>300</v>
      </c>
      <c r="I18" s="42">
        <f t="shared" si="2"/>
        <v>6600</v>
      </c>
      <c r="J18" s="42">
        <v>7000</v>
      </c>
    </row>
    <row r="19" spans="1:10" x14ac:dyDescent="0.25">
      <c r="A19" s="39" t="s">
        <v>158</v>
      </c>
      <c r="B19" s="39" t="s">
        <v>96</v>
      </c>
      <c r="C19" s="39" t="s">
        <v>130</v>
      </c>
      <c r="D19" s="39" t="s">
        <v>9</v>
      </c>
      <c r="E19" s="39" t="s">
        <v>131</v>
      </c>
      <c r="F19" s="40">
        <v>12000</v>
      </c>
      <c r="G19" s="41">
        <f t="shared" si="0"/>
        <v>600</v>
      </c>
      <c r="H19" s="41">
        <f t="shared" si="1"/>
        <v>600</v>
      </c>
      <c r="I19" s="42">
        <f t="shared" si="2"/>
        <v>13200</v>
      </c>
      <c r="J19" s="42">
        <v>13000</v>
      </c>
    </row>
    <row r="20" spans="1:10" x14ac:dyDescent="0.25">
      <c r="A20" s="39" t="s">
        <v>159</v>
      </c>
      <c r="B20" s="39" t="s">
        <v>96</v>
      </c>
      <c r="C20" s="39" t="s">
        <v>130</v>
      </c>
      <c r="D20" s="39" t="s">
        <v>9</v>
      </c>
      <c r="E20" s="39" t="s">
        <v>132</v>
      </c>
      <c r="F20" s="40">
        <v>6000</v>
      </c>
      <c r="G20" s="41">
        <f t="shared" si="0"/>
        <v>300</v>
      </c>
      <c r="H20" s="41">
        <f t="shared" si="1"/>
        <v>300</v>
      </c>
      <c r="I20" s="42">
        <f t="shared" si="2"/>
        <v>6600</v>
      </c>
      <c r="J20" s="42">
        <v>6600</v>
      </c>
    </row>
    <row r="21" spans="1:10" ht="30" x14ac:dyDescent="0.25">
      <c r="A21" s="39" t="s">
        <v>160</v>
      </c>
      <c r="B21" s="39" t="s">
        <v>96</v>
      </c>
      <c r="C21" s="39" t="s">
        <v>115</v>
      </c>
      <c r="D21" s="39" t="s">
        <v>31</v>
      </c>
      <c r="E21" s="39" t="s">
        <v>116</v>
      </c>
      <c r="F21" s="40">
        <v>4000</v>
      </c>
      <c r="G21" s="41">
        <f t="shared" si="0"/>
        <v>200</v>
      </c>
      <c r="H21" s="41">
        <f t="shared" si="1"/>
        <v>200</v>
      </c>
      <c r="I21" s="42">
        <f t="shared" si="2"/>
        <v>4400</v>
      </c>
      <c r="J21" s="42">
        <v>4500</v>
      </c>
    </row>
    <row r="22" spans="1:10" x14ac:dyDescent="0.25">
      <c r="A22" s="39" t="s">
        <v>161</v>
      </c>
      <c r="B22" s="39" t="s">
        <v>96</v>
      </c>
      <c r="C22" s="39" t="s">
        <v>101</v>
      </c>
      <c r="D22" s="39" t="s">
        <v>9</v>
      </c>
      <c r="E22" s="39" t="s">
        <v>100</v>
      </c>
      <c r="F22" s="40">
        <v>4000</v>
      </c>
      <c r="G22" s="41">
        <f t="shared" si="0"/>
        <v>200</v>
      </c>
      <c r="H22" s="41">
        <f t="shared" si="1"/>
        <v>200</v>
      </c>
      <c r="I22" s="42">
        <f t="shared" si="2"/>
        <v>4400</v>
      </c>
      <c r="J22" s="42">
        <v>4500</v>
      </c>
    </row>
    <row r="23" spans="1:10" x14ac:dyDescent="0.25">
      <c r="A23" s="39" t="s">
        <v>162</v>
      </c>
      <c r="B23" s="39" t="s">
        <v>96</v>
      </c>
      <c r="C23" s="39" t="s">
        <v>101</v>
      </c>
      <c r="D23" s="39" t="s">
        <v>9</v>
      </c>
      <c r="E23" s="39" t="s">
        <v>38</v>
      </c>
      <c r="F23" s="40">
        <v>7500</v>
      </c>
      <c r="G23" s="41">
        <f t="shared" si="0"/>
        <v>375</v>
      </c>
      <c r="H23" s="41">
        <f t="shared" si="1"/>
        <v>375</v>
      </c>
      <c r="I23" s="42">
        <f t="shared" si="2"/>
        <v>8250</v>
      </c>
      <c r="J23" s="42">
        <v>8500</v>
      </c>
    </row>
    <row r="24" spans="1:10" x14ac:dyDescent="0.25">
      <c r="A24" s="39" t="s">
        <v>163</v>
      </c>
      <c r="B24" s="39" t="s">
        <v>96</v>
      </c>
      <c r="C24" s="39" t="s">
        <v>101</v>
      </c>
      <c r="D24" s="39" t="s">
        <v>9</v>
      </c>
      <c r="E24" s="39" t="s">
        <v>75</v>
      </c>
      <c r="F24" s="40">
        <v>14000</v>
      </c>
      <c r="G24" s="41">
        <f t="shared" si="0"/>
        <v>700</v>
      </c>
      <c r="H24" s="41">
        <f t="shared" si="1"/>
        <v>700</v>
      </c>
      <c r="I24" s="42">
        <f t="shared" si="2"/>
        <v>15400</v>
      </c>
      <c r="J24" s="42">
        <v>16500</v>
      </c>
    </row>
    <row r="25" spans="1:10" ht="60" x14ac:dyDescent="0.25">
      <c r="A25" s="39" t="s">
        <v>236</v>
      </c>
      <c r="B25" s="39" t="s">
        <v>96</v>
      </c>
      <c r="C25" s="39" t="s">
        <v>105</v>
      </c>
      <c r="D25" s="39" t="s">
        <v>9</v>
      </c>
      <c r="E25" s="39" t="s">
        <v>75</v>
      </c>
      <c r="F25" s="40">
        <v>17000</v>
      </c>
      <c r="G25" s="41">
        <f t="shared" si="0"/>
        <v>850</v>
      </c>
      <c r="H25" s="41">
        <f t="shared" si="1"/>
        <v>850</v>
      </c>
      <c r="I25" s="42">
        <f t="shared" si="2"/>
        <v>18700</v>
      </c>
      <c r="J25" s="42">
        <v>18700</v>
      </c>
    </row>
    <row r="26" spans="1:10" ht="60" x14ac:dyDescent="0.25">
      <c r="A26" s="39" t="s">
        <v>237</v>
      </c>
      <c r="B26" s="39" t="s">
        <v>96</v>
      </c>
      <c r="C26" s="39" t="s">
        <v>105</v>
      </c>
      <c r="D26" s="39" t="s">
        <v>9</v>
      </c>
      <c r="E26" s="39" t="s">
        <v>106</v>
      </c>
      <c r="F26" s="40">
        <v>32000</v>
      </c>
      <c r="G26" s="41">
        <f t="shared" si="0"/>
        <v>1600</v>
      </c>
      <c r="H26" s="41">
        <f t="shared" si="1"/>
        <v>1600</v>
      </c>
      <c r="I26" s="42">
        <f t="shared" si="2"/>
        <v>35200</v>
      </c>
      <c r="J26" s="42">
        <v>35200</v>
      </c>
    </row>
    <row r="27" spans="1:10" x14ac:dyDescent="0.25">
      <c r="A27" s="39" t="s">
        <v>238</v>
      </c>
      <c r="B27" s="39" t="s">
        <v>96</v>
      </c>
      <c r="C27" s="39" t="s">
        <v>117</v>
      </c>
      <c r="D27" s="39" t="s">
        <v>12</v>
      </c>
      <c r="E27" s="39" t="s">
        <v>59</v>
      </c>
      <c r="F27" s="40">
        <v>6000</v>
      </c>
      <c r="G27" s="41">
        <f t="shared" si="0"/>
        <v>300</v>
      </c>
      <c r="H27" s="41">
        <f t="shared" si="1"/>
        <v>300</v>
      </c>
      <c r="I27" s="42">
        <f t="shared" si="2"/>
        <v>6600</v>
      </c>
      <c r="J27" s="42">
        <v>6600</v>
      </c>
    </row>
    <row r="28" spans="1:10" ht="30" x14ac:dyDescent="0.25">
      <c r="A28" s="39" t="s">
        <v>239</v>
      </c>
      <c r="B28" s="39" t="s">
        <v>96</v>
      </c>
      <c r="C28" s="39" t="s">
        <v>117</v>
      </c>
      <c r="D28" s="39" t="s">
        <v>14</v>
      </c>
      <c r="E28" s="39" t="s">
        <v>60</v>
      </c>
      <c r="F28" s="40">
        <v>3000</v>
      </c>
      <c r="G28" s="41">
        <f t="shared" si="0"/>
        <v>150</v>
      </c>
      <c r="H28" s="41">
        <f t="shared" si="1"/>
        <v>150</v>
      </c>
      <c r="I28" s="42">
        <f t="shared" si="2"/>
        <v>3300</v>
      </c>
      <c r="J28" s="42">
        <v>3300</v>
      </c>
    </row>
    <row r="29" spans="1:10" ht="30" x14ac:dyDescent="0.25">
      <c r="A29" s="39" t="s">
        <v>240</v>
      </c>
      <c r="B29" s="39" t="s">
        <v>96</v>
      </c>
      <c r="C29" s="39" t="s">
        <v>103</v>
      </c>
      <c r="D29" s="39" t="s">
        <v>9</v>
      </c>
      <c r="E29" s="39" t="s">
        <v>104</v>
      </c>
      <c r="F29" s="40">
        <v>25000</v>
      </c>
      <c r="G29" s="41">
        <f t="shared" si="0"/>
        <v>1250</v>
      </c>
      <c r="H29" s="41">
        <f t="shared" si="1"/>
        <v>1250</v>
      </c>
      <c r="I29" s="42">
        <f t="shared" si="2"/>
        <v>27500</v>
      </c>
      <c r="J29" s="42">
        <v>27500</v>
      </c>
    </row>
    <row r="30" spans="1:10" x14ac:dyDescent="0.25">
      <c r="A30" s="39" t="s">
        <v>241</v>
      </c>
      <c r="B30" s="39" t="s">
        <v>96</v>
      </c>
      <c r="C30" s="39" t="s">
        <v>122</v>
      </c>
      <c r="D30" s="39" t="s">
        <v>9</v>
      </c>
      <c r="E30" s="39" t="s">
        <v>119</v>
      </c>
      <c r="F30" s="40">
        <v>6000</v>
      </c>
      <c r="G30" s="41">
        <f t="shared" si="0"/>
        <v>300</v>
      </c>
      <c r="H30" s="41">
        <f t="shared" si="1"/>
        <v>300</v>
      </c>
      <c r="I30" s="42">
        <f t="shared" si="2"/>
        <v>6600</v>
      </c>
      <c r="J30" s="42">
        <v>6000</v>
      </c>
    </row>
    <row r="31" spans="1:10" ht="30" x14ac:dyDescent="0.25">
      <c r="A31" s="39" t="s">
        <v>242</v>
      </c>
      <c r="B31" s="39" t="s">
        <v>96</v>
      </c>
      <c r="C31" s="39" t="s">
        <v>122</v>
      </c>
      <c r="D31" s="39" t="s">
        <v>9</v>
      </c>
      <c r="E31" s="39" t="s">
        <v>120</v>
      </c>
      <c r="F31" s="40">
        <v>3000</v>
      </c>
      <c r="G31" s="41">
        <f t="shared" si="0"/>
        <v>150</v>
      </c>
      <c r="H31" s="41">
        <f t="shared" si="1"/>
        <v>150</v>
      </c>
      <c r="I31" s="42">
        <f t="shared" si="2"/>
        <v>3300</v>
      </c>
      <c r="J31" s="42">
        <v>3000</v>
      </c>
    </row>
    <row r="32" spans="1:10" x14ac:dyDescent="0.25">
      <c r="A32" s="39" t="s">
        <v>243</v>
      </c>
      <c r="B32" s="39" t="s">
        <v>96</v>
      </c>
      <c r="C32" s="39" t="s">
        <v>121</v>
      </c>
      <c r="D32" s="39" t="s">
        <v>12</v>
      </c>
      <c r="E32" s="39" t="s">
        <v>119</v>
      </c>
      <c r="F32" s="40">
        <v>6000</v>
      </c>
      <c r="G32" s="41">
        <f t="shared" si="0"/>
        <v>300</v>
      </c>
      <c r="H32" s="41">
        <f t="shared" si="1"/>
        <v>300</v>
      </c>
      <c r="I32" s="42">
        <f t="shared" si="2"/>
        <v>6600</v>
      </c>
      <c r="J32" s="42">
        <v>7000</v>
      </c>
    </row>
    <row r="33" spans="1:10" ht="30" x14ac:dyDescent="0.25">
      <c r="A33" s="39" t="s">
        <v>244</v>
      </c>
      <c r="B33" s="39" t="s">
        <v>96</v>
      </c>
      <c r="C33" s="39" t="s">
        <v>121</v>
      </c>
      <c r="D33" s="39" t="s">
        <v>14</v>
      </c>
      <c r="E33" s="39" t="s">
        <v>120</v>
      </c>
      <c r="F33" s="40">
        <v>3000</v>
      </c>
      <c r="G33" s="41">
        <f t="shared" si="0"/>
        <v>150</v>
      </c>
      <c r="H33" s="41">
        <f t="shared" si="1"/>
        <v>150</v>
      </c>
      <c r="I33" s="42">
        <f t="shared" si="2"/>
        <v>3300</v>
      </c>
      <c r="J33" s="42">
        <v>3500</v>
      </c>
    </row>
    <row r="34" spans="1:10" x14ac:dyDescent="0.25">
      <c r="A34" s="39" t="s">
        <v>245</v>
      </c>
      <c r="B34" s="39" t="s">
        <v>96</v>
      </c>
      <c r="C34" s="39" t="s">
        <v>112</v>
      </c>
      <c r="D34" s="39" t="s">
        <v>9</v>
      </c>
      <c r="E34" s="39" t="s">
        <v>113</v>
      </c>
      <c r="F34" s="40">
        <v>18000</v>
      </c>
      <c r="G34" s="41">
        <f t="shared" si="0"/>
        <v>900</v>
      </c>
      <c r="H34" s="41">
        <f t="shared" si="1"/>
        <v>900</v>
      </c>
      <c r="I34" s="42">
        <f t="shared" si="2"/>
        <v>19800</v>
      </c>
      <c r="J34" s="42">
        <v>19800</v>
      </c>
    </row>
    <row r="35" spans="1:10" x14ac:dyDescent="0.25">
      <c r="A35" s="39" t="s">
        <v>246</v>
      </c>
      <c r="B35" s="39" t="s">
        <v>96</v>
      </c>
      <c r="C35" s="39" t="s">
        <v>112</v>
      </c>
      <c r="D35" s="39" t="s">
        <v>9</v>
      </c>
      <c r="E35" s="39" t="s">
        <v>114</v>
      </c>
      <c r="F35" s="40">
        <v>9000</v>
      </c>
      <c r="G35" s="41">
        <f t="shared" si="0"/>
        <v>450</v>
      </c>
      <c r="H35" s="41">
        <f t="shared" si="1"/>
        <v>450</v>
      </c>
      <c r="I35" s="42">
        <f t="shared" si="2"/>
        <v>9900</v>
      </c>
      <c r="J35" s="42">
        <v>10000</v>
      </c>
    </row>
    <row r="36" spans="1:10" x14ac:dyDescent="0.25">
      <c r="A36" s="39" t="s">
        <v>247</v>
      </c>
      <c r="B36" s="39" t="s">
        <v>96</v>
      </c>
      <c r="C36" s="39" t="s">
        <v>111</v>
      </c>
      <c r="D36" s="39" t="s">
        <v>9</v>
      </c>
      <c r="E36" s="39" t="s">
        <v>21</v>
      </c>
      <c r="F36" s="40">
        <v>5000</v>
      </c>
      <c r="G36" s="41">
        <f t="shared" si="0"/>
        <v>250</v>
      </c>
      <c r="H36" s="41">
        <f t="shared" si="1"/>
        <v>250</v>
      </c>
      <c r="I36" s="42">
        <f t="shared" si="2"/>
        <v>5500</v>
      </c>
      <c r="J36" s="42">
        <v>5500</v>
      </c>
    </row>
    <row r="37" spans="1:10" x14ac:dyDescent="0.25">
      <c r="A37" s="39" t="s">
        <v>248</v>
      </c>
      <c r="B37" s="39" t="s">
        <v>96</v>
      </c>
      <c r="C37" s="39" t="s">
        <v>108</v>
      </c>
      <c r="D37" s="39" t="s">
        <v>9</v>
      </c>
      <c r="E37" s="39" t="s">
        <v>15</v>
      </c>
      <c r="F37" s="40">
        <v>10000</v>
      </c>
      <c r="G37" s="41">
        <f t="shared" si="0"/>
        <v>500</v>
      </c>
      <c r="H37" s="41">
        <f t="shared" si="1"/>
        <v>500</v>
      </c>
      <c r="I37" s="42">
        <f t="shared" si="2"/>
        <v>11000</v>
      </c>
      <c r="J37" s="42">
        <v>10000</v>
      </c>
    </row>
    <row r="38" spans="1:10" x14ac:dyDescent="0.25">
      <c r="A38" s="39" t="s">
        <v>249</v>
      </c>
      <c r="B38" s="39" t="s">
        <v>96</v>
      </c>
      <c r="C38" s="39" t="s">
        <v>108</v>
      </c>
      <c r="D38" s="39" t="s">
        <v>9</v>
      </c>
      <c r="E38" s="39" t="s">
        <v>110</v>
      </c>
      <c r="F38" s="40">
        <v>5000</v>
      </c>
      <c r="G38" s="41">
        <f t="shared" si="0"/>
        <v>250</v>
      </c>
      <c r="H38" s="41">
        <f t="shared" si="1"/>
        <v>250</v>
      </c>
      <c r="I38" s="42">
        <f t="shared" si="2"/>
        <v>5500</v>
      </c>
      <c r="J38" s="42">
        <v>5500</v>
      </c>
    </row>
    <row r="39" spans="1:10" x14ac:dyDescent="0.25">
      <c r="A39" s="39" t="s">
        <v>250</v>
      </c>
      <c r="B39" s="39" t="s">
        <v>96</v>
      </c>
      <c r="C39" s="39" t="s">
        <v>109</v>
      </c>
      <c r="D39" s="39" t="s">
        <v>9</v>
      </c>
      <c r="E39" s="39" t="s">
        <v>15</v>
      </c>
      <c r="F39" s="40">
        <v>10000</v>
      </c>
      <c r="G39" s="41">
        <f t="shared" si="0"/>
        <v>500</v>
      </c>
      <c r="H39" s="41">
        <f t="shared" si="1"/>
        <v>500</v>
      </c>
      <c r="I39" s="42">
        <f t="shared" si="2"/>
        <v>11000</v>
      </c>
      <c r="J39" s="42">
        <v>10000</v>
      </c>
    </row>
    <row r="40" spans="1:10" x14ac:dyDescent="0.25">
      <c r="A40" s="39" t="s">
        <v>251</v>
      </c>
      <c r="B40" s="39" t="s">
        <v>96</v>
      </c>
      <c r="C40" s="39" t="s">
        <v>107</v>
      </c>
      <c r="D40" s="39" t="s">
        <v>9</v>
      </c>
      <c r="E40" s="39" t="s">
        <v>15</v>
      </c>
      <c r="F40" s="40">
        <v>8000</v>
      </c>
      <c r="G40" s="41">
        <f t="shared" si="0"/>
        <v>400</v>
      </c>
      <c r="H40" s="41">
        <f t="shared" si="1"/>
        <v>400</v>
      </c>
      <c r="I40" s="42">
        <f t="shared" si="2"/>
        <v>8800</v>
      </c>
      <c r="J40" s="42">
        <v>8800</v>
      </c>
    </row>
    <row r="41" spans="1:10" x14ac:dyDescent="0.25">
      <c r="A41" s="39" t="s">
        <v>252</v>
      </c>
      <c r="B41" s="39" t="s">
        <v>96</v>
      </c>
      <c r="C41" s="39" t="s">
        <v>107</v>
      </c>
      <c r="D41" s="39" t="s">
        <v>9</v>
      </c>
      <c r="E41" s="39" t="s">
        <v>21</v>
      </c>
      <c r="F41" s="40">
        <v>4000</v>
      </c>
      <c r="G41" s="41">
        <f t="shared" si="0"/>
        <v>200</v>
      </c>
      <c r="H41" s="41">
        <f t="shared" si="1"/>
        <v>200</v>
      </c>
      <c r="I41" s="42">
        <f t="shared" si="2"/>
        <v>4400</v>
      </c>
      <c r="J41" s="42">
        <v>4500</v>
      </c>
    </row>
    <row r="42" spans="1:10" x14ac:dyDescent="0.25">
      <c r="A42" s="39" t="s">
        <v>253</v>
      </c>
      <c r="B42" s="39" t="s">
        <v>96</v>
      </c>
      <c r="C42" s="39" t="s">
        <v>126</v>
      </c>
      <c r="D42" s="39" t="s">
        <v>9</v>
      </c>
      <c r="E42" s="39" t="s">
        <v>21</v>
      </c>
      <c r="F42" s="40">
        <v>4000</v>
      </c>
      <c r="G42" s="41">
        <f t="shared" si="0"/>
        <v>200</v>
      </c>
      <c r="H42" s="41">
        <f t="shared" si="1"/>
        <v>200</v>
      </c>
      <c r="I42" s="42">
        <f t="shared" si="2"/>
        <v>4400</v>
      </c>
      <c r="J42" s="42">
        <v>5000</v>
      </c>
    </row>
    <row r="43" spans="1:10" x14ac:dyDescent="0.25">
      <c r="A43" s="39" t="s">
        <v>254</v>
      </c>
      <c r="B43" s="39" t="s">
        <v>96</v>
      </c>
      <c r="C43" s="39" t="s">
        <v>129</v>
      </c>
      <c r="D43" s="39" t="s">
        <v>9</v>
      </c>
      <c r="E43" s="39" t="s">
        <v>81</v>
      </c>
      <c r="F43" s="40">
        <v>5000</v>
      </c>
      <c r="G43" s="41">
        <f t="shared" si="0"/>
        <v>250</v>
      </c>
      <c r="H43" s="41">
        <f t="shared" si="1"/>
        <v>250</v>
      </c>
      <c r="I43" s="42">
        <f t="shared" si="2"/>
        <v>5500</v>
      </c>
      <c r="J43" s="42">
        <v>5500</v>
      </c>
    </row>
    <row r="44" spans="1:10" x14ac:dyDescent="0.25">
      <c r="A44" s="39" t="s">
        <v>286</v>
      </c>
      <c r="B44" s="39" t="s">
        <v>96</v>
      </c>
      <c r="C44" s="39" t="s">
        <v>287</v>
      </c>
      <c r="D44" s="39" t="s">
        <v>9</v>
      </c>
      <c r="E44" s="39" t="s">
        <v>273</v>
      </c>
      <c r="F44" s="39">
        <v>40000</v>
      </c>
      <c r="G44" s="39">
        <f t="shared" si="0"/>
        <v>2000</v>
      </c>
      <c r="H44" s="39">
        <f t="shared" si="1"/>
        <v>2000</v>
      </c>
      <c r="I44" s="44">
        <f t="shared" si="2"/>
        <v>44000</v>
      </c>
      <c r="J44" s="42">
        <v>40000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J5"/>
  <sheetViews>
    <sheetView workbookViewId="0"/>
  </sheetViews>
  <sheetFormatPr baseColWidth="10" defaultRowHeight="15" x14ac:dyDescent="0.25"/>
  <cols>
    <col min="3" max="4" width="16.28515625" bestFit="1" customWidth="1"/>
    <col min="5" max="5" width="12.5703125" bestFit="1" customWidth="1"/>
    <col min="7" max="8" width="14.42578125" customWidth="1"/>
    <col min="10" max="10" width="14.7109375" bestFit="1" customWidth="1"/>
  </cols>
  <sheetData>
    <row r="1" spans="1:10" x14ac:dyDescent="0.25">
      <c r="A1" s="26" t="s">
        <v>0</v>
      </c>
      <c r="B1" s="31" t="s">
        <v>1</v>
      </c>
      <c r="C1" s="26" t="s">
        <v>2</v>
      </c>
      <c r="D1" s="26" t="s">
        <v>3</v>
      </c>
      <c r="E1" s="26" t="s">
        <v>4</v>
      </c>
      <c r="F1" s="26" t="s">
        <v>6</v>
      </c>
      <c r="G1" s="26" t="s">
        <v>264</v>
      </c>
      <c r="H1" s="26" t="s">
        <v>233</v>
      </c>
      <c r="I1" s="32" t="s">
        <v>5</v>
      </c>
      <c r="J1" s="26" t="s">
        <v>263</v>
      </c>
    </row>
    <row r="2" spans="1:10" x14ac:dyDescent="0.25">
      <c r="A2" s="33" t="s">
        <v>231</v>
      </c>
      <c r="B2" s="33" t="s">
        <v>164</v>
      </c>
      <c r="C2" s="33" t="s">
        <v>166</v>
      </c>
      <c r="D2" s="33" t="s">
        <v>14</v>
      </c>
      <c r="E2" s="33" t="s">
        <v>120</v>
      </c>
      <c r="F2" s="20">
        <v>2000</v>
      </c>
      <c r="G2" s="34">
        <f>$F$2*5%</f>
        <v>100</v>
      </c>
      <c r="H2" s="34">
        <f>$F$2*5%</f>
        <v>100</v>
      </c>
      <c r="I2" s="34">
        <f>F2+G2+H2</f>
        <v>2200</v>
      </c>
      <c r="J2" s="34">
        <v>2000</v>
      </c>
    </row>
    <row r="3" spans="1:10" x14ac:dyDescent="0.25">
      <c r="A3" s="33" t="s">
        <v>232</v>
      </c>
      <c r="B3" s="33" t="s">
        <v>164</v>
      </c>
      <c r="C3" s="33" t="s">
        <v>166</v>
      </c>
      <c r="D3" s="33" t="s">
        <v>12</v>
      </c>
      <c r="E3" s="33" t="s">
        <v>119</v>
      </c>
      <c r="F3" s="20">
        <v>5000</v>
      </c>
      <c r="G3" s="34">
        <f>F3*5%</f>
        <v>250</v>
      </c>
      <c r="H3" s="34">
        <f>$F$2*5%</f>
        <v>100</v>
      </c>
      <c r="I3" s="34">
        <f>F3+G3+H3</f>
        <v>5350</v>
      </c>
      <c r="J3" s="34">
        <v>6000</v>
      </c>
    </row>
    <row r="4" spans="1:10" x14ac:dyDescent="0.25">
      <c r="A4" s="33" t="s">
        <v>167</v>
      </c>
      <c r="B4" s="33" t="s">
        <v>164</v>
      </c>
      <c r="C4" s="33" t="s">
        <v>165</v>
      </c>
      <c r="D4" s="33" t="s">
        <v>12</v>
      </c>
      <c r="E4" s="33" t="s">
        <v>81</v>
      </c>
      <c r="F4" s="20">
        <v>3000</v>
      </c>
      <c r="G4" s="34">
        <f>F4*5%</f>
        <v>150</v>
      </c>
      <c r="H4" s="34">
        <f>$F$2*5%</f>
        <v>100</v>
      </c>
      <c r="I4" s="34">
        <f>F4+G4+H4</f>
        <v>3250</v>
      </c>
      <c r="J4" s="34">
        <v>3500</v>
      </c>
    </row>
    <row r="5" spans="1:10" x14ac:dyDescent="0.25">
      <c r="A5" s="33" t="s">
        <v>168</v>
      </c>
      <c r="B5" s="33" t="s">
        <v>164</v>
      </c>
      <c r="C5" s="33" t="s">
        <v>165</v>
      </c>
      <c r="D5" s="33" t="s">
        <v>14</v>
      </c>
      <c r="E5" s="33" t="s">
        <v>116</v>
      </c>
      <c r="F5" s="20">
        <v>1500</v>
      </c>
      <c r="G5" s="34">
        <f>F5*5%</f>
        <v>75</v>
      </c>
      <c r="H5" s="34">
        <f>$F$2*5%</f>
        <v>100</v>
      </c>
      <c r="I5" s="34">
        <f>F5+G5+H5</f>
        <v>1675</v>
      </c>
      <c r="J5" s="34">
        <v>2000</v>
      </c>
    </row>
  </sheetData>
  <sortState xmlns:xlrd2="http://schemas.microsoft.com/office/spreadsheetml/2017/richdata2" ref="A2:H5">
    <sortCondition ref="C2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J32"/>
  <sheetViews>
    <sheetView workbookViewId="0"/>
  </sheetViews>
  <sheetFormatPr baseColWidth="10" defaultRowHeight="15" x14ac:dyDescent="0.25"/>
  <cols>
    <col min="3" max="3" width="18.28515625" customWidth="1"/>
    <col min="4" max="4" width="23.5703125" bestFit="1" customWidth="1"/>
    <col min="5" max="5" width="13.7109375" bestFit="1" customWidth="1"/>
    <col min="7" max="7" width="10.7109375" customWidth="1"/>
    <col min="8" max="8" width="17.28515625" customWidth="1"/>
    <col min="9" max="9" width="13.42578125" customWidth="1"/>
  </cols>
  <sheetData>
    <row r="1" spans="1:10" x14ac:dyDescent="0.25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6</v>
      </c>
      <c r="G1" s="45" t="s">
        <v>264</v>
      </c>
      <c r="H1" s="45" t="s">
        <v>233</v>
      </c>
      <c r="I1" s="50" t="s">
        <v>5</v>
      </c>
      <c r="J1" s="49" t="s">
        <v>257</v>
      </c>
    </row>
    <row r="2" spans="1:10" x14ac:dyDescent="0.25">
      <c r="A2" s="5" t="s">
        <v>206</v>
      </c>
      <c r="B2" s="5" t="s">
        <v>169</v>
      </c>
      <c r="C2" s="5" t="s">
        <v>182</v>
      </c>
      <c r="D2" s="5" t="s">
        <v>9</v>
      </c>
      <c r="E2" s="5" t="s">
        <v>183</v>
      </c>
      <c r="F2" s="6">
        <v>2600</v>
      </c>
      <c r="G2" s="7">
        <f>F2*5%</f>
        <v>130</v>
      </c>
      <c r="H2" s="7">
        <f>F2*5%</f>
        <v>130</v>
      </c>
      <c r="I2" s="8">
        <f>F2+G2+H2</f>
        <v>2860</v>
      </c>
      <c r="J2" s="2">
        <v>3000</v>
      </c>
    </row>
    <row r="3" spans="1:10" x14ac:dyDescent="0.25">
      <c r="A3" s="5" t="s">
        <v>219</v>
      </c>
      <c r="B3" s="5" t="s">
        <v>169</v>
      </c>
      <c r="C3" s="5" t="s">
        <v>217</v>
      </c>
      <c r="D3" s="5" t="s">
        <v>31</v>
      </c>
      <c r="E3" s="5" t="s">
        <v>172</v>
      </c>
      <c r="F3" s="6">
        <v>3000</v>
      </c>
      <c r="G3" s="7">
        <f t="shared" ref="G3:G30" si="0">F3*5%</f>
        <v>150</v>
      </c>
      <c r="H3" s="7">
        <f t="shared" ref="H3:H30" si="1">F3*5%</f>
        <v>150</v>
      </c>
      <c r="I3" s="8">
        <f t="shared" ref="I3:I30" si="2">F3+G3+H3</f>
        <v>3300</v>
      </c>
      <c r="J3" s="8">
        <v>3000</v>
      </c>
    </row>
    <row r="4" spans="1:10" x14ac:dyDescent="0.25">
      <c r="A4" s="5" t="s">
        <v>220</v>
      </c>
      <c r="B4" s="5" t="s">
        <v>169</v>
      </c>
      <c r="C4" s="5" t="s">
        <v>184</v>
      </c>
      <c r="D4" s="5" t="s">
        <v>9</v>
      </c>
      <c r="E4" s="5" t="s">
        <v>172</v>
      </c>
      <c r="F4" s="6">
        <v>2000</v>
      </c>
      <c r="G4" s="7">
        <f t="shared" si="0"/>
        <v>100</v>
      </c>
      <c r="H4" s="7">
        <f t="shared" si="1"/>
        <v>100</v>
      </c>
      <c r="I4" s="8">
        <f t="shared" si="2"/>
        <v>2200</v>
      </c>
      <c r="J4" s="8">
        <v>2500</v>
      </c>
    </row>
    <row r="5" spans="1:10" x14ac:dyDescent="0.25">
      <c r="A5" s="5" t="s">
        <v>201</v>
      </c>
      <c r="B5" s="5" t="s">
        <v>169</v>
      </c>
      <c r="C5" s="5" t="s">
        <v>270</v>
      </c>
      <c r="D5" s="5" t="s">
        <v>9</v>
      </c>
      <c r="E5" s="5" t="s">
        <v>185</v>
      </c>
      <c r="F5" s="6">
        <v>2000</v>
      </c>
      <c r="G5" s="7">
        <f t="shared" si="0"/>
        <v>100</v>
      </c>
      <c r="H5" s="7">
        <f t="shared" si="1"/>
        <v>100</v>
      </c>
      <c r="I5" s="8">
        <f t="shared" si="2"/>
        <v>2200</v>
      </c>
      <c r="J5" s="8">
        <v>2200</v>
      </c>
    </row>
    <row r="6" spans="1:10" x14ac:dyDescent="0.25">
      <c r="A6" s="5" t="s">
        <v>202</v>
      </c>
      <c r="B6" s="51" t="s">
        <v>169</v>
      </c>
      <c r="C6" s="51" t="s">
        <v>199</v>
      </c>
      <c r="D6" s="51" t="s">
        <v>9</v>
      </c>
      <c r="E6" s="51" t="s">
        <v>183</v>
      </c>
      <c r="F6" s="46">
        <v>2300</v>
      </c>
      <c r="G6" s="7">
        <f t="shared" si="0"/>
        <v>115</v>
      </c>
      <c r="H6" s="7">
        <f t="shared" si="1"/>
        <v>115</v>
      </c>
      <c r="I6" s="8">
        <f t="shared" si="2"/>
        <v>2530</v>
      </c>
      <c r="J6" s="52">
        <v>2500</v>
      </c>
    </row>
    <row r="7" spans="1:10" x14ac:dyDescent="0.25">
      <c r="A7" s="5" t="s">
        <v>203</v>
      </c>
      <c r="B7" s="51" t="s">
        <v>169</v>
      </c>
      <c r="C7" s="51" t="s">
        <v>200</v>
      </c>
      <c r="D7" s="51" t="s">
        <v>9</v>
      </c>
      <c r="E7" s="51" t="s">
        <v>183</v>
      </c>
      <c r="F7" s="46">
        <v>2300</v>
      </c>
      <c r="G7" s="7">
        <f t="shared" si="0"/>
        <v>115</v>
      </c>
      <c r="H7" s="7">
        <f t="shared" si="1"/>
        <v>115</v>
      </c>
      <c r="I7" s="8">
        <f t="shared" si="2"/>
        <v>2530</v>
      </c>
      <c r="J7" s="52">
        <v>2500</v>
      </c>
    </row>
    <row r="8" spans="1:10" x14ac:dyDescent="0.25">
      <c r="A8" s="5" t="s">
        <v>204</v>
      </c>
      <c r="B8" s="5" t="s">
        <v>169</v>
      </c>
      <c r="C8" s="5" t="s">
        <v>198</v>
      </c>
      <c r="D8" s="5" t="s">
        <v>9</v>
      </c>
      <c r="E8" s="5" t="s">
        <v>185</v>
      </c>
      <c r="F8" s="6">
        <v>2300</v>
      </c>
      <c r="G8" s="7">
        <f t="shared" si="0"/>
        <v>115</v>
      </c>
      <c r="H8" s="7">
        <f t="shared" si="1"/>
        <v>115</v>
      </c>
      <c r="I8" s="8">
        <f t="shared" si="2"/>
        <v>2530</v>
      </c>
      <c r="J8" s="8">
        <v>2500</v>
      </c>
    </row>
    <row r="9" spans="1:10" x14ac:dyDescent="0.25">
      <c r="A9" s="5" t="s">
        <v>221</v>
      </c>
      <c r="B9" s="5" t="s">
        <v>169</v>
      </c>
      <c r="C9" s="5" t="s">
        <v>194</v>
      </c>
      <c r="D9" s="5" t="s">
        <v>9</v>
      </c>
      <c r="E9" s="5" t="s">
        <v>116</v>
      </c>
      <c r="F9" s="6">
        <v>30000</v>
      </c>
      <c r="G9" s="7">
        <f t="shared" si="0"/>
        <v>1500</v>
      </c>
      <c r="H9" s="7">
        <f t="shared" si="1"/>
        <v>1500</v>
      </c>
      <c r="I9" s="8">
        <f t="shared" si="2"/>
        <v>33000</v>
      </c>
      <c r="J9" s="8">
        <v>30000</v>
      </c>
    </row>
    <row r="10" spans="1:10" x14ac:dyDescent="0.25">
      <c r="A10" s="5" t="s">
        <v>205</v>
      </c>
      <c r="B10" s="5" t="s">
        <v>169</v>
      </c>
      <c r="C10" s="5" t="s">
        <v>194</v>
      </c>
      <c r="D10" s="5" t="s">
        <v>9</v>
      </c>
      <c r="E10" s="5" t="s">
        <v>195</v>
      </c>
      <c r="F10" s="6">
        <v>15000</v>
      </c>
      <c r="G10" s="7">
        <f t="shared" si="0"/>
        <v>750</v>
      </c>
      <c r="H10" s="7">
        <f t="shared" si="1"/>
        <v>750</v>
      </c>
      <c r="I10" s="8">
        <f t="shared" si="2"/>
        <v>16500</v>
      </c>
      <c r="J10" s="8">
        <v>15000</v>
      </c>
    </row>
    <row r="11" spans="1:10" x14ac:dyDescent="0.25">
      <c r="A11" s="5" t="s">
        <v>222</v>
      </c>
      <c r="B11" s="5" t="s">
        <v>169</v>
      </c>
      <c r="C11" s="5" t="s">
        <v>218</v>
      </c>
      <c r="D11" s="5" t="s">
        <v>31</v>
      </c>
      <c r="E11" s="5" t="s">
        <v>172</v>
      </c>
      <c r="F11" s="6">
        <v>1800</v>
      </c>
      <c r="G11" s="7">
        <f t="shared" si="0"/>
        <v>90</v>
      </c>
      <c r="H11" s="7">
        <f t="shared" si="1"/>
        <v>90</v>
      </c>
      <c r="I11" s="8">
        <f t="shared" si="2"/>
        <v>1980</v>
      </c>
      <c r="J11" s="8">
        <v>2000</v>
      </c>
    </row>
    <row r="12" spans="1:10" x14ac:dyDescent="0.25">
      <c r="A12" s="5" t="s">
        <v>223</v>
      </c>
      <c r="B12" s="5" t="s">
        <v>169</v>
      </c>
      <c r="C12" s="5" t="s">
        <v>173</v>
      </c>
      <c r="D12" s="5" t="s">
        <v>9</v>
      </c>
      <c r="E12" s="5" t="s">
        <v>34</v>
      </c>
      <c r="F12" s="6">
        <v>1600</v>
      </c>
      <c r="G12" s="7">
        <f t="shared" si="0"/>
        <v>80</v>
      </c>
      <c r="H12" s="7">
        <f t="shared" si="1"/>
        <v>80</v>
      </c>
      <c r="I12" s="8">
        <f t="shared" si="2"/>
        <v>1760</v>
      </c>
      <c r="J12" s="8">
        <v>2000</v>
      </c>
    </row>
    <row r="13" spans="1:10" x14ac:dyDescent="0.25">
      <c r="A13" s="5" t="s">
        <v>224</v>
      </c>
      <c r="B13" s="5" t="s">
        <v>169</v>
      </c>
      <c r="C13" s="5" t="s">
        <v>173</v>
      </c>
      <c r="D13" s="5" t="s">
        <v>9</v>
      </c>
      <c r="E13" s="5" t="s">
        <v>174</v>
      </c>
      <c r="F13" s="6">
        <v>900</v>
      </c>
      <c r="G13" s="7">
        <f t="shared" si="0"/>
        <v>45</v>
      </c>
      <c r="H13" s="7">
        <f t="shared" si="1"/>
        <v>45</v>
      </c>
      <c r="I13" s="8">
        <f t="shared" si="2"/>
        <v>990</v>
      </c>
      <c r="J13" s="8">
        <v>1000</v>
      </c>
    </row>
    <row r="14" spans="1:10" x14ac:dyDescent="0.25">
      <c r="A14" s="5" t="s">
        <v>225</v>
      </c>
      <c r="B14" s="5" t="s">
        <v>169</v>
      </c>
      <c r="C14" s="5" t="s">
        <v>178</v>
      </c>
      <c r="D14" s="5" t="s">
        <v>9</v>
      </c>
      <c r="E14" s="5" t="s">
        <v>179</v>
      </c>
      <c r="F14" s="6">
        <v>3000</v>
      </c>
      <c r="G14" s="7">
        <f t="shared" si="0"/>
        <v>150</v>
      </c>
      <c r="H14" s="7">
        <f t="shared" si="1"/>
        <v>150</v>
      </c>
      <c r="I14" s="8">
        <f t="shared" si="2"/>
        <v>3300</v>
      </c>
      <c r="J14" s="8">
        <v>3300</v>
      </c>
    </row>
    <row r="15" spans="1:10" x14ac:dyDescent="0.25">
      <c r="A15" s="5" t="s">
        <v>207</v>
      </c>
      <c r="B15" s="5" t="s">
        <v>169</v>
      </c>
      <c r="C15" s="5" t="s">
        <v>190</v>
      </c>
      <c r="D15" s="5" t="s">
        <v>9</v>
      </c>
      <c r="E15" s="5" t="s">
        <v>191</v>
      </c>
      <c r="F15" s="6">
        <v>5000</v>
      </c>
      <c r="G15" s="7">
        <f t="shared" si="0"/>
        <v>250</v>
      </c>
      <c r="H15" s="7">
        <f t="shared" si="1"/>
        <v>250</v>
      </c>
      <c r="I15" s="8">
        <f t="shared" si="2"/>
        <v>5500</v>
      </c>
      <c r="J15" s="8">
        <v>5500</v>
      </c>
    </row>
    <row r="16" spans="1:10" x14ac:dyDescent="0.25">
      <c r="A16" s="5" t="s">
        <v>208</v>
      </c>
      <c r="B16" s="5" t="s">
        <v>169</v>
      </c>
      <c r="C16" s="5" t="s">
        <v>197</v>
      </c>
      <c r="D16" s="5" t="s">
        <v>9</v>
      </c>
      <c r="E16" s="5" t="s">
        <v>116</v>
      </c>
      <c r="F16" s="6">
        <v>3000</v>
      </c>
      <c r="G16" s="7">
        <f t="shared" si="0"/>
        <v>150</v>
      </c>
      <c r="H16" s="7">
        <f t="shared" si="1"/>
        <v>150</v>
      </c>
      <c r="I16" s="8">
        <f t="shared" si="2"/>
        <v>3300</v>
      </c>
      <c r="J16" s="8">
        <v>3300</v>
      </c>
    </row>
    <row r="17" spans="1:10" x14ac:dyDescent="0.25">
      <c r="A17" s="5" t="s">
        <v>209</v>
      </c>
      <c r="B17" s="5" t="s">
        <v>169</v>
      </c>
      <c r="C17" s="5" t="s">
        <v>186</v>
      </c>
      <c r="D17" s="5" t="s">
        <v>9</v>
      </c>
      <c r="E17" s="5" t="s">
        <v>187</v>
      </c>
      <c r="F17" s="6">
        <v>2500</v>
      </c>
      <c r="G17" s="7">
        <f t="shared" si="0"/>
        <v>125</v>
      </c>
      <c r="H17" s="7">
        <f t="shared" si="1"/>
        <v>125</v>
      </c>
      <c r="I17" s="8">
        <f t="shared" si="2"/>
        <v>2750</v>
      </c>
      <c r="J17" s="8">
        <v>3000</v>
      </c>
    </row>
    <row r="18" spans="1:10" x14ac:dyDescent="0.25">
      <c r="A18" s="5" t="s">
        <v>210</v>
      </c>
      <c r="B18" s="53" t="s">
        <v>169</v>
      </c>
      <c r="C18" s="53" t="s">
        <v>177</v>
      </c>
      <c r="D18" s="53" t="s">
        <v>9</v>
      </c>
      <c r="E18" s="53" t="s">
        <v>176</v>
      </c>
      <c r="F18" s="47">
        <v>27000</v>
      </c>
      <c r="G18" s="7">
        <f t="shared" si="0"/>
        <v>1350</v>
      </c>
      <c r="H18" s="7">
        <f t="shared" si="1"/>
        <v>1350</v>
      </c>
      <c r="I18" s="8">
        <f t="shared" si="2"/>
        <v>29700</v>
      </c>
      <c r="J18" s="54">
        <v>28000</v>
      </c>
    </row>
    <row r="19" spans="1:10" x14ac:dyDescent="0.25">
      <c r="A19" s="5" t="s">
        <v>211</v>
      </c>
      <c r="B19" s="5" t="s">
        <v>169</v>
      </c>
      <c r="C19" s="5" t="s">
        <v>175</v>
      </c>
      <c r="D19" s="5" t="s">
        <v>9</v>
      </c>
      <c r="E19" s="5" t="s">
        <v>176</v>
      </c>
      <c r="F19" s="6">
        <v>18000</v>
      </c>
      <c r="G19" s="7">
        <f t="shared" si="0"/>
        <v>900</v>
      </c>
      <c r="H19" s="7">
        <f t="shared" si="1"/>
        <v>900</v>
      </c>
      <c r="I19" s="8">
        <f t="shared" si="2"/>
        <v>19800</v>
      </c>
      <c r="J19" s="8">
        <v>20000</v>
      </c>
    </row>
    <row r="20" spans="1:10" x14ac:dyDescent="0.25">
      <c r="A20" s="5" t="s">
        <v>212</v>
      </c>
      <c r="B20" s="5" t="s">
        <v>169</v>
      </c>
      <c r="C20" s="5" t="s">
        <v>171</v>
      </c>
      <c r="D20" s="5" t="s">
        <v>9</v>
      </c>
      <c r="E20" s="5" t="s">
        <v>172</v>
      </c>
      <c r="F20" s="6">
        <v>2700</v>
      </c>
      <c r="G20" s="7">
        <f t="shared" si="0"/>
        <v>135</v>
      </c>
      <c r="H20" s="7">
        <f t="shared" si="1"/>
        <v>135</v>
      </c>
      <c r="I20" s="8">
        <f t="shared" si="2"/>
        <v>2970</v>
      </c>
      <c r="J20" s="8">
        <v>3000</v>
      </c>
    </row>
    <row r="21" spans="1:10" x14ac:dyDescent="0.25">
      <c r="A21" s="5" t="s">
        <v>227</v>
      </c>
      <c r="B21" s="5" t="s">
        <v>169</v>
      </c>
      <c r="C21" s="5" t="s">
        <v>124</v>
      </c>
      <c r="D21" s="5" t="s">
        <v>12</v>
      </c>
      <c r="E21" s="5" t="s">
        <v>216</v>
      </c>
      <c r="F21" s="6">
        <v>2900</v>
      </c>
      <c r="G21" s="7">
        <f t="shared" si="0"/>
        <v>145</v>
      </c>
      <c r="H21" s="7">
        <f t="shared" si="1"/>
        <v>145</v>
      </c>
      <c r="I21" s="8">
        <f t="shared" si="2"/>
        <v>3190</v>
      </c>
      <c r="J21" s="8">
        <v>3500</v>
      </c>
    </row>
    <row r="22" spans="1:10" x14ac:dyDescent="0.25">
      <c r="A22" s="5" t="s">
        <v>213</v>
      </c>
      <c r="B22" s="5" t="s">
        <v>169</v>
      </c>
      <c r="C22" s="5" t="s">
        <v>196</v>
      </c>
      <c r="D22" s="5" t="s">
        <v>9</v>
      </c>
      <c r="E22" s="5" t="s">
        <v>59</v>
      </c>
      <c r="F22" s="6">
        <v>3000</v>
      </c>
      <c r="G22" s="7">
        <f t="shared" si="0"/>
        <v>150</v>
      </c>
      <c r="H22" s="7">
        <f t="shared" si="1"/>
        <v>150</v>
      </c>
      <c r="I22" s="8">
        <f t="shared" si="2"/>
        <v>3300</v>
      </c>
      <c r="J22" s="8">
        <v>3500</v>
      </c>
    </row>
    <row r="23" spans="1:10" x14ac:dyDescent="0.25">
      <c r="A23" s="5" t="s">
        <v>214</v>
      </c>
      <c r="B23" s="5" t="s">
        <v>169</v>
      </c>
      <c r="C23" s="5" t="s">
        <v>196</v>
      </c>
      <c r="D23" s="5" t="s">
        <v>9</v>
      </c>
      <c r="E23" s="5" t="s">
        <v>60</v>
      </c>
      <c r="F23" s="6">
        <v>1500</v>
      </c>
      <c r="G23" s="7">
        <f t="shared" si="0"/>
        <v>75</v>
      </c>
      <c r="H23" s="7">
        <f t="shared" si="1"/>
        <v>75</v>
      </c>
      <c r="I23" s="8">
        <f t="shared" si="2"/>
        <v>1650</v>
      </c>
      <c r="J23" s="8">
        <v>2000</v>
      </c>
    </row>
    <row r="24" spans="1:10" x14ac:dyDescent="0.25">
      <c r="A24" s="5" t="s">
        <v>226</v>
      </c>
      <c r="B24" s="5" t="s">
        <v>169</v>
      </c>
      <c r="C24" s="5" t="s">
        <v>170</v>
      </c>
      <c r="D24" s="5" t="s">
        <v>12</v>
      </c>
      <c r="E24" s="5" t="s">
        <v>216</v>
      </c>
      <c r="F24" s="6">
        <v>3000</v>
      </c>
      <c r="G24" s="7">
        <f t="shared" si="0"/>
        <v>150</v>
      </c>
      <c r="H24" s="7">
        <f t="shared" si="1"/>
        <v>150</v>
      </c>
      <c r="I24" s="8">
        <f t="shared" si="2"/>
        <v>3300</v>
      </c>
      <c r="J24" s="8">
        <v>4000</v>
      </c>
    </row>
    <row r="25" spans="1:10" x14ac:dyDescent="0.25">
      <c r="A25" s="5" t="s">
        <v>215</v>
      </c>
      <c r="B25" s="5" t="s">
        <v>169</v>
      </c>
      <c r="C25" s="5" t="s">
        <v>170</v>
      </c>
      <c r="D25" s="5" t="s">
        <v>14</v>
      </c>
      <c r="E25" s="5" t="s">
        <v>60</v>
      </c>
      <c r="F25" s="6">
        <v>1500</v>
      </c>
      <c r="G25" s="7">
        <f t="shared" si="0"/>
        <v>75</v>
      </c>
      <c r="H25" s="7">
        <f t="shared" si="1"/>
        <v>75</v>
      </c>
      <c r="I25" s="8">
        <f t="shared" si="2"/>
        <v>1650</v>
      </c>
      <c r="J25" s="8">
        <v>2000</v>
      </c>
    </row>
    <row r="26" spans="1:10" x14ac:dyDescent="0.25">
      <c r="A26" s="5" t="s">
        <v>228</v>
      </c>
      <c r="B26" s="5" t="s">
        <v>169</v>
      </c>
      <c r="C26" s="5" t="s">
        <v>180</v>
      </c>
      <c r="D26" s="5" t="s">
        <v>9</v>
      </c>
      <c r="E26" s="5" t="s">
        <v>181</v>
      </c>
      <c r="F26" s="6">
        <v>2700</v>
      </c>
      <c r="G26" s="7">
        <f t="shared" si="0"/>
        <v>135</v>
      </c>
      <c r="H26" s="7">
        <f t="shared" si="1"/>
        <v>135</v>
      </c>
      <c r="I26" s="8">
        <f t="shared" si="2"/>
        <v>2970</v>
      </c>
      <c r="J26" s="8">
        <v>3000</v>
      </c>
    </row>
    <row r="27" spans="1:10" x14ac:dyDescent="0.25">
      <c r="A27" s="5" t="s">
        <v>229</v>
      </c>
      <c r="B27" s="5" t="s">
        <v>169</v>
      </c>
      <c r="C27" s="5" t="s">
        <v>192</v>
      </c>
      <c r="D27" s="5" t="s">
        <v>9</v>
      </c>
      <c r="E27" s="5" t="s">
        <v>193</v>
      </c>
      <c r="F27" s="6">
        <v>2500</v>
      </c>
      <c r="G27" s="7">
        <f t="shared" si="0"/>
        <v>125</v>
      </c>
      <c r="H27" s="7">
        <f t="shared" si="1"/>
        <v>125</v>
      </c>
      <c r="I27" s="8">
        <f t="shared" si="2"/>
        <v>2750</v>
      </c>
      <c r="J27" s="8">
        <v>3000</v>
      </c>
    </row>
    <row r="28" spans="1:10" x14ac:dyDescent="0.25">
      <c r="A28" s="5" t="s">
        <v>230</v>
      </c>
      <c r="B28" s="5" t="s">
        <v>169</v>
      </c>
      <c r="C28" s="5" t="s">
        <v>188</v>
      </c>
      <c r="D28" s="5" t="s">
        <v>9</v>
      </c>
      <c r="E28" s="5" t="s">
        <v>189</v>
      </c>
      <c r="F28" s="6">
        <v>3500</v>
      </c>
      <c r="G28" s="7">
        <f t="shared" si="0"/>
        <v>175</v>
      </c>
      <c r="H28" s="7">
        <f t="shared" si="1"/>
        <v>175</v>
      </c>
      <c r="I28" s="8">
        <f t="shared" si="2"/>
        <v>3850</v>
      </c>
      <c r="J28" s="8">
        <v>4000</v>
      </c>
    </row>
    <row r="29" spans="1:10" x14ac:dyDescent="0.25">
      <c r="A29" s="5" t="s">
        <v>266</v>
      </c>
      <c r="B29" s="2" t="s">
        <v>169</v>
      </c>
      <c r="C29" s="5" t="s">
        <v>265</v>
      </c>
      <c r="D29" s="5" t="s">
        <v>9</v>
      </c>
      <c r="E29" s="2" t="s">
        <v>271</v>
      </c>
      <c r="F29" s="6">
        <v>6000</v>
      </c>
      <c r="G29" s="48">
        <f t="shared" si="0"/>
        <v>300</v>
      </c>
      <c r="H29" s="48">
        <f t="shared" si="1"/>
        <v>300</v>
      </c>
      <c r="I29" s="8">
        <f t="shared" si="2"/>
        <v>6600</v>
      </c>
      <c r="J29" s="8">
        <v>6000</v>
      </c>
    </row>
    <row r="30" spans="1:10" x14ac:dyDescent="0.25">
      <c r="A30" s="5" t="s">
        <v>267</v>
      </c>
      <c r="B30" s="2" t="s">
        <v>169</v>
      </c>
      <c r="C30" s="5" t="s">
        <v>268</v>
      </c>
      <c r="D30" s="5" t="s">
        <v>269</v>
      </c>
      <c r="E30" s="2" t="s">
        <v>271</v>
      </c>
      <c r="F30" s="6">
        <v>6000</v>
      </c>
      <c r="G30" s="48">
        <f t="shared" si="0"/>
        <v>300</v>
      </c>
      <c r="H30" s="48">
        <f t="shared" si="1"/>
        <v>300</v>
      </c>
      <c r="I30" s="8">
        <f t="shared" si="2"/>
        <v>6600</v>
      </c>
      <c r="J30" s="2">
        <v>6000</v>
      </c>
    </row>
    <row r="31" spans="1:10" x14ac:dyDescent="0.25">
      <c r="A31" s="5" t="s">
        <v>275</v>
      </c>
      <c r="B31" s="5" t="s">
        <v>169</v>
      </c>
      <c r="C31" s="5" t="s">
        <v>124</v>
      </c>
      <c r="D31" s="5" t="s">
        <v>14</v>
      </c>
      <c r="E31" s="5" t="s">
        <v>277</v>
      </c>
      <c r="F31" s="6">
        <v>1450</v>
      </c>
      <c r="G31" s="7">
        <f>F31*5%</f>
        <v>72.5</v>
      </c>
      <c r="H31" s="7">
        <f>F31*5%</f>
        <v>72.5</v>
      </c>
      <c r="I31" s="8">
        <f>F31+G31+H31</f>
        <v>1595</v>
      </c>
      <c r="J31" s="8">
        <v>1600</v>
      </c>
    </row>
    <row r="32" spans="1:10" x14ac:dyDescent="0.25">
      <c r="A32" s="5" t="s">
        <v>289</v>
      </c>
      <c r="B32" s="5" t="s">
        <v>169</v>
      </c>
      <c r="C32" s="5" t="s">
        <v>278</v>
      </c>
      <c r="D32" s="5" t="s">
        <v>9</v>
      </c>
      <c r="E32" s="5" t="s">
        <v>172</v>
      </c>
      <c r="F32" s="6">
        <v>8000</v>
      </c>
      <c r="G32" s="48">
        <f>F32*5%</f>
        <v>400</v>
      </c>
      <c r="H32" s="48">
        <f>F32*5%</f>
        <v>400</v>
      </c>
      <c r="I32" s="8">
        <f>F32+G32+H32</f>
        <v>8800</v>
      </c>
      <c r="J32" s="8">
        <v>9000</v>
      </c>
    </row>
  </sheetData>
  <sortState xmlns:xlrd2="http://schemas.microsoft.com/office/spreadsheetml/2017/richdata2" ref="A2:H29">
    <sortCondition ref="C2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A1:K136"/>
  <sheetViews>
    <sheetView tabSelected="1" workbookViewId="0">
      <selection activeCell="C2" sqref="C2:C128"/>
    </sheetView>
  </sheetViews>
  <sheetFormatPr baseColWidth="10" defaultRowHeight="15" x14ac:dyDescent="0.25"/>
  <cols>
    <col min="1" max="1" width="7.7109375" customWidth="1"/>
    <col min="2" max="2" width="11.42578125" style="64"/>
    <col min="4" max="4" width="11.28515625" style="98" customWidth="1"/>
    <col min="5" max="5" width="33.5703125" style="99" customWidth="1"/>
    <col min="6" max="6" width="19.28515625" style="98" customWidth="1"/>
    <col min="7" max="7" width="11.42578125" style="98"/>
    <col min="8" max="8" width="13" style="98" customWidth="1"/>
    <col min="9" max="9" width="15" style="98" customWidth="1"/>
    <col min="10" max="10" width="16.42578125" style="98" customWidth="1"/>
    <col min="11" max="11" width="12.7109375" style="98" customWidth="1"/>
  </cols>
  <sheetData>
    <row r="1" spans="1:11" x14ac:dyDescent="0.25">
      <c r="A1" s="56" t="s">
        <v>295</v>
      </c>
      <c r="B1" s="58" t="s">
        <v>0</v>
      </c>
      <c r="C1" s="57" t="s">
        <v>1</v>
      </c>
      <c r="D1" s="65" t="s">
        <v>3</v>
      </c>
      <c r="E1" s="66" t="s">
        <v>2</v>
      </c>
      <c r="F1" s="65" t="s">
        <v>4</v>
      </c>
      <c r="G1" s="67" t="s">
        <v>6</v>
      </c>
      <c r="H1" s="68" t="s">
        <v>297</v>
      </c>
      <c r="I1" s="68" t="s">
        <v>233</v>
      </c>
      <c r="J1" s="69" t="s">
        <v>255</v>
      </c>
      <c r="K1" s="67" t="s">
        <v>257</v>
      </c>
    </row>
    <row r="2" spans="1:11" x14ac:dyDescent="0.25">
      <c r="A2" s="9">
        <v>1</v>
      </c>
      <c r="B2" s="59" t="s">
        <v>333</v>
      </c>
      <c r="C2" s="100" t="s">
        <v>7</v>
      </c>
      <c r="D2" s="70" t="s">
        <v>276</v>
      </c>
      <c r="E2" s="71" t="s">
        <v>302</v>
      </c>
      <c r="F2" s="70" t="s">
        <v>17</v>
      </c>
      <c r="G2" s="72">
        <v>2250</v>
      </c>
      <c r="H2" s="73">
        <v>112.5</v>
      </c>
      <c r="I2" s="73">
        <v>112.5</v>
      </c>
      <c r="J2" s="74">
        <v>2475</v>
      </c>
      <c r="K2" s="75">
        <v>2500</v>
      </c>
    </row>
    <row r="3" spans="1:11" x14ac:dyDescent="0.25">
      <c r="A3" s="9">
        <v>2</v>
      </c>
      <c r="B3" s="59" t="s">
        <v>334</v>
      </c>
      <c r="C3" s="100" t="s">
        <v>7</v>
      </c>
      <c r="D3" s="70" t="s">
        <v>276</v>
      </c>
      <c r="E3" s="71" t="s">
        <v>37</v>
      </c>
      <c r="F3" s="70" t="s">
        <v>38</v>
      </c>
      <c r="G3" s="72">
        <v>2250</v>
      </c>
      <c r="H3" s="73">
        <v>112.5</v>
      </c>
      <c r="I3" s="73">
        <v>112.5</v>
      </c>
      <c r="J3" s="74">
        <v>2475</v>
      </c>
      <c r="K3" s="75">
        <v>2500</v>
      </c>
    </row>
    <row r="4" spans="1:11" x14ac:dyDescent="0.25">
      <c r="A4" s="9">
        <v>3</v>
      </c>
      <c r="B4" s="59" t="s">
        <v>335</v>
      </c>
      <c r="C4" s="100" t="s">
        <v>7</v>
      </c>
      <c r="D4" s="70" t="s">
        <v>276</v>
      </c>
      <c r="E4" s="71" t="s">
        <v>303</v>
      </c>
      <c r="F4" s="70" t="s">
        <v>17</v>
      </c>
      <c r="G4" s="72">
        <v>2250</v>
      </c>
      <c r="H4" s="73">
        <v>112.5</v>
      </c>
      <c r="I4" s="73">
        <v>112.5</v>
      </c>
      <c r="J4" s="74">
        <v>2475</v>
      </c>
      <c r="K4" s="75">
        <v>2500</v>
      </c>
    </row>
    <row r="5" spans="1:11" x14ac:dyDescent="0.25">
      <c r="A5" s="9">
        <v>4</v>
      </c>
      <c r="B5" s="59" t="s">
        <v>336</v>
      </c>
      <c r="C5" s="100" t="s">
        <v>7</v>
      </c>
      <c r="D5" s="70" t="s">
        <v>276</v>
      </c>
      <c r="E5" s="71" t="s">
        <v>304</v>
      </c>
      <c r="F5" s="70" t="s">
        <v>17</v>
      </c>
      <c r="G5" s="72">
        <v>2250</v>
      </c>
      <c r="H5" s="73">
        <v>112.5</v>
      </c>
      <c r="I5" s="73">
        <v>112.5</v>
      </c>
      <c r="J5" s="74">
        <v>2475</v>
      </c>
      <c r="K5" s="75">
        <v>2500</v>
      </c>
    </row>
    <row r="6" spans="1:11" x14ac:dyDescent="0.25">
      <c r="A6" s="9">
        <v>5</v>
      </c>
      <c r="B6" s="59" t="s">
        <v>337</v>
      </c>
      <c r="C6" s="100" t="s">
        <v>7</v>
      </c>
      <c r="D6" s="70" t="s">
        <v>285</v>
      </c>
      <c r="E6" s="71" t="s">
        <v>33</v>
      </c>
      <c r="F6" s="70" t="s">
        <v>34</v>
      </c>
      <c r="G6" s="72">
        <v>2000</v>
      </c>
      <c r="H6" s="73">
        <v>100</v>
      </c>
      <c r="I6" s="73">
        <v>100</v>
      </c>
      <c r="J6" s="74">
        <v>2200</v>
      </c>
      <c r="K6" s="75">
        <v>2500</v>
      </c>
    </row>
    <row r="7" spans="1:11" x14ac:dyDescent="0.25">
      <c r="A7" s="9">
        <v>6</v>
      </c>
      <c r="B7" s="59" t="s">
        <v>338</v>
      </c>
      <c r="C7" s="100" t="s">
        <v>7</v>
      </c>
      <c r="D7" s="70" t="s">
        <v>285</v>
      </c>
      <c r="E7" s="71" t="s">
        <v>33</v>
      </c>
      <c r="F7" s="70" t="s">
        <v>35</v>
      </c>
      <c r="G7" s="72">
        <v>1000</v>
      </c>
      <c r="H7" s="73">
        <v>50</v>
      </c>
      <c r="I7" s="73">
        <v>50</v>
      </c>
      <c r="J7" s="74">
        <v>1100</v>
      </c>
      <c r="K7" s="75">
        <v>1300</v>
      </c>
    </row>
    <row r="8" spans="1:11" x14ac:dyDescent="0.25">
      <c r="A8" s="9">
        <v>7</v>
      </c>
      <c r="B8" s="59" t="s">
        <v>339</v>
      </c>
      <c r="C8" s="100" t="s">
        <v>7</v>
      </c>
      <c r="D8" s="70" t="s">
        <v>276</v>
      </c>
      <c r="E8" s="71" t="s">
        <v>8</v>
      </c>
      <c r="F8" s="70" t="s">
        <v>10</v>
      </c>
      <c r="G8" s="72">
        <v>2500</v>
      </c>
      <c r="H8" s="73">
        <v>125</v>
      </c>
      <c r="I8" s="73">
        <v>125</v>
      </c>
      <c r="J8" s="74">
        <v>2750</v>
      </c>
      <c r="K8" s="75">
        <v>3000</v>
      </c>
    </row>
    <row r="9" spans="1:11" x14ac:dyDescent="0.25">
      <c r="A9" s="9">
        <v>8</v>
      </c>
      <c r="B9" s="59" t="s">
        <v>340</v>
      </c>
      <c r="C9" s="100" t="s">
        <v>7</v>
      </c>
      <c r="D9" s="70" t="s">
        <v>291</v>
      </c>
      <c r="E9" s="71" t="s">
        <v>26</v>
      </c>
      <c r="F9" s="70" t="s">
        <v>27</v>
      </c>
      <c r="G9" s="72">
        <v>16000</v>
      </c>
      <c r="H9" s="73">
        <v>800</v>
      </c>
      <c r="I9" s="73">
        <v>800</v>
      </c>
      <c r="J9" s="74">
        <v>17600</v>
      </c>
      <c r="K9" s="75">
        <v>18000</v>
      </c>
    </row>
    <row r="10" spans="1:11" x14ac:dyDescent="0.25">
      <c r="A10" s="9">
        <v>9</v>
      </c>
      <c r="B10" s="59" t="s">
        <v>341</v>
      </c>
      <c r="C10" s="100" t="s">
        <v>7</v>
      </c>
      <c r="D10" s="70" t="s">
        <v>327</v>
      </c>
      <c r="E10" s="71" t="s">
        <v>452</v>
      </c>
      <c r="F10" s="70" t="s">
        <v>29</v>
      </c>
      <c r="G10" s="72">
        <v>5000</v>
      </c>
      <c r="H10" s="73">
        <v>250</v>
      </c>
      <c r="I10" s="73">
        <v>250</v>
      </c>
      <c r="J10" s="74">
        <v>5500</v>
      </c>
      <c r="K10" s="75">
        <v>6000</v>
      </c>
    </row>
    <row r="11" spans="1:11" x14ac:dyDescent="0.25">
      <c r="A11" s="9">
        <v>10</v>
      </c>
      <c r="B11" s="59" t="s">
        <v>342</v>
      </c>
      <c r="C11" s="100" t="s">
        <v>7</v>
      </c>
      <c r="D11" s="70" t="s">
        <v>327</v>
      </c>
      <c r="E11" s="71" t="s">
        <v>451</v>
      </c>
      <c r="F11" s="70" t="s">
        <v>13</v>
      </c>
      <c r="G11" s="72">
        <v>10000</v>
      </c>
      <c r="H11" s="73">
        <v>500</v>
      </c>
      <c r="I11" s="73">
        <v>500</v>
      </c>
      <c r="J11" s="74">
        <v>11000</v>
      </c>
      <c r="K11" s="75">
        <v>12000</v>
      </c>
    </row>
    <row r="12" spans="1:11" x14ac:dyDescent="0.25">
      <c r="A12" s="9">
        <v>11</v>
      </c>
      <c r="B12" s="59" t="s">
        <v>343</v>
      </c>
      <c r="C12" s="100" t="s">
        <v>7</v>
      </c>
      <c r="D12" s="70" t="s">
        <v>327</v>
      </c>
      <c r="E12" s="71" t="s">
        <v>460</v>
      </c>
      <c r="F12" s="70" t="s">
        <v>30</v>
      </c>
      <c r="G12" s="72">
        <v>20000</v>
      </c>
      <c r="H12" s="73">
        <v>1000</v>
      </c>
      <c r="I12" s="73">
        <v>1000</v>
      </c>
      <c r="J12" s="74">
        <v>22000</v>
      </c>
      <c r="K12" s="75">
        <v>22000</v>
      </c>
    </row>
    <row r="13" spans="1:11" x14ac:dyDescent="0.25">
      <c r="A13" s="9">
        <v>12</v>
      </c>
      <c r="B13" s="59" t="s">
        <v>344</v>
      </c>
      <c r="C13" s="100" t="s">
        <v>7</v>
      </c>
      <c r="D13" s="70" t="s">
        <v>291</v>
      </c>
      <c r="E13" s="71" t="s">
        <v>305</v>
      </c>
      <c r="F13" s="70" t="s">
        <v>25</v>
      </c>
      <c r="G13" s="72">
        <v>4500</v>
      </c>
      <c r="H13" s="73">
        <v>225</v>
      </c>
      <c r="I13" s="73">
        <v>225</v>
      </c>
      <c r="J13" s="74">
        <v>4950</v>
      </c>
      <c r="K13" s="75">
        <v>5000</v>
      </c>
    </row>
    <row r="14" spans="1:11" x14ac:dyDescent="0.25">
      <c r="A14" s="9">
        <v>13</v>
      </c>
      <c r="B14" s="59" t="s">
        <v>345</v>
      </c>
      <c r="C14" s="100" t="s">
        <v>7</v>
      </c>
      <c r="D14" s="70" t="s">
        <v>291</v>
      </c>
      <c r="E14" s="71" t="s">
        <v>461</v>
      </c>
      <c r="F14" s="70" t="s">
        <v>13</v>
      </c>
      <c r="G14" s="72">
        <v>5000</v>
      </c>
      <c r="H14" s="73">
        <v>250</v>
      </c>
      <c r="I14" s="73">
        <v>250</v>
      </c>
      <c r="J14" s="74">
        <v>5500</v>
      </c>
      <c r="K14" s="75">
        <v>6000</v>
      </c>
    </row>
    <row r="15" spans="1:11" x14ac:dyDescent="0.25">
      <c r="A15" s="9">
        <v>14</v>
      </c>
      <c r="B15" s="59" t="s">
        <v>346</v>
      </c>
      <c r="C15" s="100" t="s">
        <v>7</v>
      </c>
      <c r="D15" s="70" t="s">
        <v>291</v>
      </c>
      <c r="E15" s="71" t="s">
        <v>11</v>
      </c>
      <c r="F15" s="70" t="s">
        <v>15</v>
      </c>
      <c r="G15" s="72">
        <v>3500</v>
      </c>
      <c r="H15" s="73">
        <v>175</v>
      </c>
      <c r="I15" s="73">
        <v>175</v>
      </c>
      <c r="J15" s="74">
        <v>3850</v>
      </c>
      <c r="K15" s="75">
        <v>4000</v>
      </c>
    </row>
    <row r="16" spans="1:11" x14ac:dyDescent="0.25">
      <c r="A16" s="9">
        <v>15</v>
      </c>
      <c r="B16" s="59" t="s">
        <v>347</v>
      </c>
      <c r="C16" s="100" t="s">
        <v>7</v>
      </c>
      <c r="D16" s="70" t="s">
        <v>285</v>
      </c>
      <c r="E16" s="71" t="s">
        <v>36</v>
      </c>
      <c r="F16" s="70" t="s">
        <v>34</v>
      </c>
      <c r="G16" s="72">
        <v>2000</v>
      </c>
      <c r="H16" s="73">
        <v>100</v>
      </c>
      <c r="I16" s="73">
        <v>100</v>
      </c>
      <c r="J16" s="74">
        <v>2200</v>
      </c>
      <c r="K16" s="75">
        <v>2500</v>
      </c>
    </row>
    <row r="17" spans="1:11" x14ac:dyDescent="0.25">
      <c r="A17" s="9">
        <v>16</v>
      </c>
      <c r="B17" s="59" t="s">
        <v>348</v>
      </c>
      <c r="C17" s="100" t="s">
        <v>7</v>
      </c>
      <c r="D17" s="70" t="s">
        <v>276</v>
      </c>
      <c r="E17" s="71" t="s">
        <v>306</v>
      </c>
      <c r="F17" s="70" t="s">
        <v>21</v>
      </c>
      <c r="G17" s="72">
        <v>2500</v>
      </c>
      <c r="H17" s="73">
        <v>125</v>
      </c>
      <c r="I17" s="73">
        <v>125</v>
      </c>
      <c r="J17" s="74">
        <v>2750</v>
      </c>
      <c r="K17" s="75">
        <v>3000</v>
      </c>
    </row>
    <row r="18" spans="1:11" x14ac:dyDescent="0.25">
      <c r="A18" s="9">
        <v>17</v>
      </c>
      <c r="B18" s="59" t="s">
        <v>349</v>
      </c>
      <c r="C18" s="100" t="s">
        <v>7</v>
      </c>
      <c r="D18" s="70" t="s">
        <v>276</v>
      </c>
      <c r="E18" s="71" t="s">
        <v>307</v>
      </c>
      <c r="F18" s="70" t="s">
        <v>21</v>
      </c>
      <c r="G18" s="72">
        <v>2500</v>
      </c>
      <c r="H18" s="73">
        <v>125</v>
      </c>
      <c r="I18" s="73">
        <v>125</v>
      </c>
      <c r="J18" s="74">
        <v>2750</v>
      </c>
      <c r="K18" s="75">
        <v>3000</v>
      </c>
    </row>
    <row r="19" spans="1:11" x14ac:dyDescent="0.25">
      <c r="A19" s="9">
        <v>18</v>
      </c>
      <c r="B19" s="59" t="s">
        <v>350</v>
      </c>
      <c r="C19" s="100" t="s">
        <v>7</v>
      </c>
      <c r="D19" s="70" t="s">
        <v>276</v>
      </c>
      <c r="E19" s="71" t="s">
        <v>308</v>
      </c>
      <c r="F19" s="70" t="s">
        <v>21</v>
      </c>
      <c r="G19" s="72">
        <v>2500</v>
      </c>
      <c r="H19" s="73">
        <v>125</v>
      </c>
      <c r="I19" s="73">
        <v>125</v>
      </c>
      <c r="J19" s="74">
        <v>2750</v>
      </c>
      <c r="K19" s="75">
        <v>3000</v>
      </c>
    </row>
    <row r="20" spans="1:11" x14ac:dyDescent="0.25">
      <c r="A20" s="9">
        <v>19</v>
      </c>
      <c r="B20" s="59" t="s">
        <v>494</v>
      </c>
      <c r="C20" s="100" t="s">
        <v>7</v>
      </c>
      <c r="D20" s="70" t="s">
        <v>276</v>
      </c>
      <c r="E20" s="71" t="s">
        <v>495</v>
      </c>
      <c r="F20" s="70" t="s">
        <v>496</v>
      </c>
      <c r="G20" s="72">
        <v>7000</v>
      </c>
      <c r="H20" s="73">
        <f>+Oferta[[#This Row],[Costo Pcc]]*0.05</f>
        <v>350</v>
      </c>
      <c r="I20" s="73">
        <f>+Oferta[[#This Row],[Costo Pcc]]*0.05</f>
        <v>350</v>
      </c>
      <c r="J20" s="74">
        <f>+Oferta[[#This Row],[Costo Pcc]]+Oferta[[#This Row],[%Transporte]]+Oferta[[#This Row],[% Logística]]</f>
        <v>7700</v>
      </c>
      <c r="K20" s="75">
        <v>7700</v>
      </c>
    </row>
    <row r="21" spans="1:11" x14ac:dyDescent="0.25">
      <c r="A21" s="9">
        <v>20</v>
      </c>
      <c r="B21" s="59" t="s">
        <v>351</v>
      </c>
      <c r="C21" s="100" t="s">
        <v>57</v>
      </c>
      <c r="D21" s="70" t="s">
        <v>279</v>
      </c>
      <c r="E21" s="71" t="s">
        <v>61</v>
      </c>
      <c r="F21" s="70" t="s">
        <v>62</v>
      </c>
      <c r="G21" s="72">
        <v>2000</v>
      </c>
      <c r="H21" s="73">
        <v>100</v>
      </c>
      <c r="I21" s="73">
        <v>100</v>
      </c>
      <c r="J21" s="74">
        <v>2200</v>
      </c>
      <c r="K21" s="75">
        <v>2500</v>
      </c>
    </row>
    <row r="22" spans="1:11" x14ac:dyDescent="0.25">
      <c r="A22" s="9">
        <v>21</v>
      </c>
      <c r="B22" s="59" t="s">
        <v>352</v>
      </c>
      <c r="C22" s="100" t="s">
        <v>57</v>
      </c>
      <c r="D22" s="70" t="s">
        <v>280</v>
      </c>
      <c r="E22" s="71" t="s">
        <v>58</v>
      </c>
      <c r="F22" s="70" t="s">
        <v>59</v>
      </c>
      <c r="G22" s="72">
        <v>4300</v>
      </c>
      <c r="H22" s="73">
        <v>200</v>
      </c>
      <c r="I22" s="73">
        <v>200</v>
      </c>
      <c r="J22" s="74">
        <v>4400</v>
      </c>
      <c r="K22" s="75">
        <v>5000</v>
      </c>
    </row>
    <row r="23" spans="1:11" x14ac:dyDescent="0.25">
      <c r="A23" s="9">
        <v>22</v>
      </c>
      <c r="B23" s="59" t="s">
        <v>353</v>
      </c>
      <c r="C23" s="100" t="s">
        <v>57</v>
      </c>
      <c r="D23" s="70" t="s">
        <v>280</v>
      </c>
      <c r="E23" s="71" t="s">
        <v>58</v>
      </c>
      <c r="F23" s="70" t="s">
        <v>60</v>
      </c>
      <c r="G23" s="72">
        <v>2300</v>
      </c>
      <c r="H23" s="73">
        <v>100</v>
      </c>
      <c r="I23" s="73">
        <v>100</v>
      </c>
      <c r="J23" s="74">
        <v>2500</v>
      </c>
      <c r="K23" s="75">
        <v>2500</v>
      </c>
    </row>
    <row r="24" spans="1:11" x14ac:dyDescent="0.25">
      <c r="A24" s="9">
        <v>23</v>
      </c>
      <c r="B24" s="59" t="s">
        <v>354</v>
      </c>
      <c r="C24" s="100" t="s">
        <v>57</v>
      </c>
      <c r="D24" s="70" t="s">
        <v>280</v>
      </c>
      <c r="E24" s="71" t="s">
        <v>63</v>
      </c>
      <c r="F24" s="70" t="s">
        <v>32</v>
      </c>
      <c r="G24" s="72">
        <v>1500</v>
      </c>
      <c r="H24" s="73">
        <v>75</v>
      </c>
      <c r="I24" s="73">
        <v>75</v>
      </c>
      <c r="J24" s="74">
        <v>1650</v>
      </c>
      <c r="K24" s="75">
        <v>1600</v>
      </c>
    </row>
    <row r="25" spans="1:11" x14ac:dyDescent="0.25">
      <c r="A25" s="9">
        <v>24</v>
      </c>
      <c r="B25" s="59" t="s">
        <v>492</v>
      </c>
      <c r="C25" s="100" t="s">
        <v>57</v>
      </c>
      <c r="D25" s="70" t="s">
        <v>280</v>
      </c>
      <c r="E25" s="71" t="s">
        <v>118</v>
      </c>
      <c r="F25" s="70" t="s">
        <v>119</v>
      </c>
      <c r="G25" s="72">
        <v>4500</v>
      </c>
      <c r="H25" s="73">
        <v>225</v>
      </c>
      <c r="I25" s="73">
        <v>225</v>
      </c>
      <c r="J25" s="74">
        <v>4950</v>
      </c>
      <c r="K25" s="75">
        <v>5500</v>
      </c>
    </row>
    <row r="26" spans="1:11" x14ac:dyDescent="0.25">
      <c r="A26" s="9">
        <v>25</v>
      </c>
      <c r="B26" s="59" t="s">
        <v>493</v>
      </c>
      <c r="C26" s="100" t="s">
        <v>57</v>
      </c>
      <c r="D26" s="70" t="s">
        <v>280</v>
      </c>
      <c r="E26" s="71" t="s">
        <v>118</v>
      </c>
      <c r="F26" s="70" t="s">
        <v>120</v>
      </c>
      <c r="G26" s="72">
        <v>2500</v>
      </c>
      <c r="H26" s="73">
        <v>125</v>
      </c>
      <c r="I26" s="73">
        <v>125</v>
      </c>
      <c r="J26" s="74">
        <v>2750</v>
      </c>
      <c r="K26" s="75">
        <v>3000</v>
      </c>
    </row>
    <row r="27" spans="1:11" x14ac:dyDescent="0.25">
      <c r="A27" s="9">
        <v>26</v>
      </c>
      <c r="B27" s="59" t="s">
        <v>355</v>
      </c>
      <c r="C27" s="100" t="s">
        <v>68</v>
      </c>
      <c r="D27" s="70" t="s">
        <v>274</v>
      </c>
      <c r="E27" s="71" t="s">
        <v>73</v>
      </c>
      <c r="F27" s="70" t="s">
        <v>13</v>
      </c>
      <c r="G27" s="72">
        <v>2000</v>
      </c>
      <c r="H27" s="73">
        <v>100</v>
      </c>
      <c r="I27" s="73">
        <v>100</v>
      </c>
      <c r="J27" s="74">
        <v>2200</v>
      </c>
      <c r="K27" s="75">
        <v>2500</v>
      </c>
    </row>
    <row r="28" spans="1:11" x14ac:dyDescent="0.25">
      <c r="A28" s="9">
        <v>27</v>
      </c>
      <c r="B28" s="59" t="s">
        <v>356</v>
      </c>
      <c r="C28" s="100" t="s">
        <v>68</v>
      </c>
      <c r="D28" s="70" t="s">
        <v>274</v>
      </c>
      <c r="E28" s="71" t="s">
        <v>84</v>
      </c>
      <c r="F28" s="70" t="s">
        <v>85</v>
      </c>
      <c r="G28" s="72">
        <v>2500</v>
      </c>
      <c r="H28" s="73">
        <v>125</v>
      </c>
      <c r="I28" s="73">
        <v>125</v>
      </c>
      <c r="J28" s="74">
        <v>2750</v>
      </c>
      <c r="K28" s="75">
        <v>2500</v>
      </c>
    </row>
    <row r="29" spans="1:11" x14ac:dyDescent="0.25">
      <c r="A29" s="9">
        <v>28</v>
      </c>
      <c r="B29" s="59" t="s">
        <v>357</v>
      </c>
      <c r="C29" s="100" t="s">
        <v>68</v>
      </c>
      <c r="D29" s="70" t="s">
        <v>274</v>
      </c>
      <c r="E29" s="71" t="s">
        <v>309</v>
      </c>
      <c r="F29" s="70" t="s">
        <v>30</v>
      </c>
      <c r="G29" s="72">
        <v>3200</v>
      </c>
      <c r="H29" s="73">
        <v>160</v>
      </c>
      <c r="I29" s="73">
        <v>160</v>
      </c>
      <c r="J29" s="74">
        <v>3520</v>
      </c>
      <c r="K29" s="75">
        <v>3500</v>
      </c>
    </row>
    <row r="30" spans="1:11" x14ac:dyDescent="0.25">
      <c r="A30" s="9">
        <v>29</v>
      </c>
      <c r="B30" s="59" t="s">
        <v>358</v>
      </c>
      <c r="C30" s="100" t="s">
        <v>68</v>
      </c>
      <c r="D30" s="70" t="s">
        <v>285</v>
      </c>
      <c r="E30" s="71" t="s">
        <v>310</v>
      </c>
      <c r="F30" s="70" t="s">
        <v>38</v>
      </c>
      <c r="G30" s="72">
        <v>2000</v>
      </c>
      <c r="H30" s="73">
        <v>100</v>
      </c>
      <c r="I30" s="73">
        <v>100</v>
      </c>
      <c r="J30" s="74">
        <v>2200</v>
      </c>
      <c r="K30" s="75">
        <v>2500</v>
      </c>
    </row>
    <row r="31" spans="1:11" x14ac:dyDescent="0.25">
      <c r="A31" s="9">
        <v>30</v>
      </c>
      <c r="B31" s="59" t="s">
        <v>359</v>
      </c>
      <c r="C31" s="100" t="s">
        <v>68</v>
      </c>
      <c r="D31" s="70" t="s">
        <v>274</v>
      </c>
      <c r="E31" s="71" t="s">
        <v>76</v>
      </c>
      <c r="F31" s="70" t="s">
        <v>75</v>
      </c>
      <c r="G31" s="72">
        <v>1500</v>
      </c>
      <c r="H31" s="73">
        <v>75</v>
      </c>
      <c r="I31" s="73">
        <v>75</v>
      </c>
      <c r="J31" s="74">
        <v>1650</v>
      </c>
      <c r="K31" s="75">
        <v>1800</v>
      </c>
    </row>
    <row r="32" spans="1:11" x14ac:dyDescent="0.25">
      <c r="A32" s="9">
        <v>31</v>
      </c>
      <c r="B32" s="59" t="s">
        <v>360</v>
      </c>
      <c r="C32" s="100" t="s">
        <v>68</v>
      </c>
      <c r="D32" s="70" t="s">
        <v>274</v>
      </c>
      <c r="E32" s="71" t="s">
        <v>69</v>
      </c>
      <c r="F32" s="70" t="s">
        <v>30</v>
      </c>
      <c r="G32" s="72">
        <v>3200</v>
      </c>
      <c r="H32" s="73">
        <v>160</v>
      </c>
      <c r="I32" s="73">
        <v>160</v>
      </c>
      <c r="J32" s="74">
        <v>3520</v>
      </c>
      <c r="K32" s="75">
        <v>4000</v>
      </c>
    </row>
    <row r="33" spans="1:11" x14ac:dyDescent="0.25">
      <c r="A33" s="9">
        <v>32</v>
      </c>
      <c r="B33" s="59" t="s">
        <v>361</v>
      </c>
      <c r="C33" s="100" t="s">
        <v>68</v>
      </c>
      <c r="D33" s="70" t="s">
        <v>274</v>
      </c>
      <c r="E33" s="71" t="s">
        <v>72</v>
      </c>
      <c r="F33" s="70" t="s">
        <v>13</v>
      </c>
      <c r="G33" s="72">
        <v>2000</v>
      </c>
      <c r="H33" s="73">
        <v>100</v>
      </c>
      <c r="I33" s="73">
        <v>100</v>
      </c>
      <c r="J33" s="74">
        <v>2200</v>
      </c>
      <c r="K33" s="75">
        <v>2500</v>
      </c>
    </row>
    <row r="34" spans="1:11" x14ac:dyDescent="0.25">
      <c r="A34" s="9">
        <v>33</v>
      </c>
      <c r="B34" s="59" t="s">
        <v>362</v>
      </c>
      <c r="C34" s="100" t="s">
        <v>68</v>
      </c>
      <c r="D34" s="70" t="s">
        <v>274</v>
      </c>
      <c r="E34" s="71" t="s">
        <v>311</v>
      </c>
      <c r="F34" s="70" t="s">
        <v>32</v>
      </c>
      <c r="G34" s="72">
        <v>2500</v>
      </c>
      <c r="H34" s="73">
        <v>125</v>
      </c>
      <c r="I34" s="73">
        <v>125</v>
      </c>
      <c r="J34" s="74">
        <v>2750</v>
      </c>
      <c r="K34" s="75">
        <v>3000</v>
      </c>
    </row>
    <row r="35" spans="1:11" x14ac:dyDescent="0.25">
      <c r="A35" s="9">
        <v>34</v>
      </c>
      <c r="B35" s="59" t="s">
        <v>363</v>
      </c>
      <c r="C35" s="100" t="s">
        <v>68</v>
      </c>
      <c r="D35" s="70" t="s">
        <v>274</v>
      </c>
      <c r="E35" s="71" t="s">
        <v>71</v>
      </c>
      <c r="F35" s="70" t="s">
        <v>29</v>
      </c>
      <c r="G35" s="72">
        <v>2500</v>
      </c>
      <c r="H35" s="73">
        <v>125</v>
      </c>
      <c r="I35" s="73">
        <v>125</v>
      </c>
      <c r="J35" s="74">
        <v>2750</v>
      </c>
      <c r="K35" s="75">
        <v>3000</v>
      </c>
    </row>
    <row r="36" spans="1:11" x14ac:dyDescent="0.25">
      <c r="A36" s="9">
        <v>35</v>
      </c>
      <c r="B36" s="59" t="s">
        <v>364</v>
      </c>
      <c r="C36" s="100" t="s">
        <v>68</v>
      </c>
      <c r="D36" s="70" t="s">
        <v>285</v>
      </c>
      <c r="E36" s="71" t="s">
        <v>78</v>
      </c>
      <c r="F36" s="70" t="s">
        <v>38</v>
      </c>
      <c r="G36" s="72">
        <v>2000</v>
      </c>
      <c r="H36" s="73">
        <v>100</v>
      </c>
      <c r="I36" s="73">
        <v>100</v>
      </c>
      <c r="J36" s="74">
        <v>2200</v>
      </c>
      <c r="K36" s="75">
        <v>2300</v>
      </c>
    </row>
    <row r="37" spans="1:11" x14ac:dyDescent="0.25">
      <c r="A37" s="9">
        <v>36</v>
      </c>
      <c r="B37" s="59" t="s">
        <v>365</v>
      </c>
      <c r="C37" s="100" t="s">
        <v>68</v>
      </c>
      <c r="D37" s="70" t="s">
        <v>294</v>
      </c>
      <c r="E37" s="71" t="s">
        <v>312</v>
      </c>
      <c r="F37" s="70" t="s">
        <v>81</v>
      </c>
      <c r="G37" s="72">
        <v>3000</v>
      </c>
      <c r="H37" s="73">
        <v>150</v>
      </c>
      <c r="I37" s="73">
        <v>150</v>
      </c>
      <c r="J37" s="74">
        <v>3300</v>
      </c>
      <c r="K37" s="75">
        <v>3500</v>
      </c>
    </row>
    <row r="38" spans="1:11" x14ac:dyDescent="0.25">
      <c r="A38" s="9">
        <v>37</v>
      </c>
      <c r="B38" s="59" t="s">
        <v>366</v>
      </c>
      <c r="C38" s="100" t="s">
        <v>68</v>
      </c>
      <c r="D38" s="70" t="s">
        <v>274</v>
      </c>
      <c r="E38" s="71" t="s">
        <v>74</v>
      </c>
      <c r="F38" s="70" t="s">
        <v>75</v>
      </c>
      <c r="G38" s="72">
        <v>1500</v>
      </c>
      <c r="H38" s="73">
        <v>75</v>
      </c>
      <c r="I38" s="73">
        <v>75</v>
      </c>
      <c r="J38" s="74">
        <v>1650</v>
      </c>
      <c r="K38" s="75">
        <v>1800</v>
      </c>
    </row>
    <row r="39" spans="1:11" x14ac:dyDescent="0.25">
      <c r="A39" s="9">
        <v>38</v>
      </c>
      <c r="B39" s="59" t="s">
        <v>367</v>
      </c>
      <c r="C39" s="100" t="s">
        <v>68</v>
      </c>
      <c r="D39" s="70" t="s">
        <v>274</v>
      </c>
      <c r="E39" s="71" t="s">
        <v>313</v>
      </c>
      <c r="F39" s="70" t="s">
        <v>30</v>
      </c>
      <c r="G39" s="72">
        <v>2500</v>
      </c>
      <c r="H39" s="73">
        <v>125</v>
      </c>
      <c r="I39" s="73">
        <v>125</v>
      </c>
      <c r="J39" s="74">
        <v>2750</v>
      </c>
      <c r="K39" s="75">
        <v>3000</v>
      </c>
    </row>
    <row r="40" spans="1:11" x14ac:dyDescent="0.25">
      <c r="A40" s="9">
        <v>39</v>
      </c>
      <c r="B40" s="59" t="s">
        <v>368</v>
      </c>
      <c r="C40" s="100" t="s">
        <v>68</v>
      </c>
      <c r="D40" s="70" t="s">
        <v>274</v>
      </c>
      <c r="E40" s="71" t="s">
        <v>80</v>
      </c>
      <c r="F40" s="70" t="s">
        <v>81</v>
      </c>
      <c r="G40" s="72">
        <v>3000</v>
      </c>
      <c r="H40" s="73">
        <v>150</v>
      </c>
      <c r="I40" s="73">
        <v>150</v>
      </c>
      <c r="J40" s="74">
        <v>3300</v>
      </c>
      <c r="K40" s="75">
        <v>3500</v>
      </c>
    </row>
    <row r="41" spans="1:11" x14ac:dyDescent="0.25">
      <c r="A41" s="9">
        <v>40</v>
      </c>
      <c r="B41" s="59" t="s">
        <v>369</v>
      </c>
      <c r="C41" s="100" t="s">
        <v>96</v>
      </c>
      <c r="D41" s="70" t="s">
        <v>279</v>
      </c>
      <c r="E41" s="71" t="s">
        <v>99</v>
      </c>
      <c r="F41" s="70" t="s">
        <v>100</v>
      </c>
      <c r="G41" s="72">
        <v>8000</v>
      </c>
      <c r="H41" s="73">
        <v>400</v>
      </c>
      <c r="I41" s="73">
        <v>400</v>
      </c>
      <c r="J41" s="74">
        <v>8800</v>
      </c>
      <c r="K41" s="75">
        <v>9000</v>
      </c>
    </row>
    <row r="42" spans="1:11" x14ac:dyDescent="0.25">
      <c r="A42" s="9">
        <v>41</v>
      </c>
      <c r="B42" s="59" t="s">
        <v>370</v>
      </c>
      <c r="C42" s="100" t="s">
        <v>96</v>
      </c>
      <c r="D42" s="70" t="s">
        <v>283</v>
      </c>
      <c r="E42" s="71" t="s">
        <v>97</v>
      </c>
      <c r="F42" s="70" t="s">
        <v>98</v>
      </c>
      <c r="G42" s="72">
        <v>8500</v>
      </c>
      <c r="H42" s="73">
        <v>425</v>
      </c>
      <c r="I42" s="73">
        <v>425</v>
      </c>
      <c r="J42" s="74">
        <v>9350</v>
      </c>
      <c r="K42" s="75">
        <v>9500</v>
      </c>
    </row>
    <row r="43" spans="1:11" x14ac:dyDescent="0.25">
      <c r="A43" s="9">
        <v>42</v>
      </c>
      <c r="B43" s="59" t="s">
        <v>371</v>
      </c>
      <c r="C43" s="100" t="s">
        <v>96</v>
      </c>
      <c r="D43" s="70" t="s">
        <v>280</v>
      </c>
      <c r="E43" s="71" t="s">
        <v>118</v>
      </c>
      <c r="F43" s="70" t="s">
        <v>119</v>
      </c>
      <c r="G43" s="72">
        <v>4500</v>
      </c>
      <c r="H43" s="73">
        <v>225</v>
      </c>
      <c r="I43" s="73">
        <v>225</v>
      </c>
      <c r="J43" s="74">
        <v>4950</v>
      </c>
      <c r="K43" s="75">
        <v>5500</v>
      </c>
    </row>
    <row r="44" spans="1:11" x14ac:dyDescent="0.25">
      <c r="A44" s="9">
        <v>43</v>
      </c>
      <c r="B44" s="59" t="s">
        <v>372</v>
      </c>
      <c r="C44" s="100" t="s">
        <v>96</v>
      </c>
      <c r="D44" s="70" t="s">
        <v>280</v>
      </c>
      <c r="E44" s="71" t="s">
        <v>118</v>
      </c>
      <c r="F44" s="70" t="s">
        <v>120</v>
      </c>
      <c r="G44" s="72">
        <v>2500</v>
      </c>
      <c r="H44" s="73">
        <v>125</v>
      </c>
      <c r="I44" s="73">
        <v>125</v>
      </c>
      <c r="J44" s="74">
        <v>2750</v>
      </c>
      <c r="K44" s="75">
        <v>3000</v>
      </c>
    </row>
    <row r="45" spans="1:11" x14ac:dyDescent="0.25">
      <c r="A45" s="9">
        <v>44</v>
      </c>
      <c r="B45" s="59" t="s">
        <v>373</v>
      </c>
      <c r="C45" s="100" t="s">
        <v>96</v>
      </c>
      <c r="D45" s="70" t="s">
        <v>281</v>
      </c>
      <c r="E45" s="71" t="s">
        <v>125</v>
      </c>
      <c r="F45" s="70" t="s">
        <v>81</v>
      </c>
      <c r="G45" s="72">
        <v>5000</v>
      </c>
      <c r="H45" s="73">
        <v>250</v>
      </c>
      <c r="I45" s="73">
        <v>250</v>
      </c>
      <c r="J45" s="74">
        <v>5500</v>
      </c>
      <c r="K45" s="75">
        <v>6000</v>
      </c>
    </row>
    <row r="46" spans="1:11" x14ac:dyDescent="0.25">
      <c r="A46" s="9">
        <v>45</v>
      </c>
      <c r="B46" s="59" t="s">
        <v>374</v>
      </c>
      <c r="C46" s="100" t="s">
        <v>96</v>
      </c>
      <c r="D46" s="70" t="s">
        <v>299</v>
      </c>
      <c r="E46" s="71" t="s">
        <v>290</v>
      </c>
      <c r="F46" s="70" t="s">
        <v>113</v>
      </c>
      <c r="G46" s="72">
        <v>9000</v>
      </c>
      <c r="H46" s="73">
        <v>450</v>
      </c>
      <c r="I46" s="73">
        <v>450</v>
      </c>
      <c r="J46" s="74">
        <v>9900</v>
      </c>
      <c r="K46" s="75">
        <v>10000</v>
      </c>
    </row>
    <row r="47" spans="1:11" x14ac:dyDescent="0.25">
      <c r="A47" s="9">
        <v>46</v>
      </c>
      <c r="B47" s="59" t="s">
        <v>375</v>
      </c>
      <c r="C47" s="100" t="s">
        <v>96</v>
      </c>
      <c r="D47" s="70" t="s">
        <v>299</v>
      </c>
      <c r="E47" s="71" t="s">
        <v>290</v>
      </c>
      <c r="F47" s="70" t="s">
        <v>114</v>
      </c>
      <c r="G47" s="72">
        <v>4500</v>
      </c>
      <c r="H47" s="73">
        <v>225</v>
      </c>
      <c r="I47" s="73">
        <v>225</v>
      </c>
      <c r="J47" s="74">
        <v>4950</v>
      </c>
      <c r="K47" s="75">
        <v>5000</v>
      </c>
    </row>
    <row r="48" spans="1:11" x14ac:dyDescent="0.25">
      <c r="A48" s="9">
        <v>47</v>
      </c>
      <c r="B48" s="59" t="s">
        <v>376</v>
      </c>
      <c r="C48" s="100" t="s">
        <v>96</v>
      </c>
      <c r="D48" s="70" t="s">
        <v>274</v>
      </c>
      <c r="E48" s="71" t="s">
        <v>123</v>
      </c>
      <c r="F48" s="70" t="s">
        <v>81</v>
      </c>
      <c r="G48" s="72">
        <v>2000</v>
      </c>
      <c r="H48" s="73">
        <v>100</v>
      </c>
      <c r="I48" s="73">
        <v>100</v>
      </c>
      <c r="J48" s="74">
        <v>2200</v>
      </c>
      <c r="K48" s="75">
        <v>2500</v>
      </c>
    </row>
    <row r="49" spans="1:11" x14ac:dyDescent="0.25">
      <c r="A49" s="9">
        <v>48</v>
      </c>
      <c r="B49" s="59" t="s">
        <v>377</v>
      </c>
      <c r="C49" s="100" t="s">
        <v>96</v>
      </c>
      <c r="D49" s="70" t="s">
        <v>288</v>
      </c>
      <c r="E49" s="71" t="s">
        <v>102</v>
      </c>
      <c r="F49" s="70" t="s">
        <v>32</v>
      </c>
      <c r="G49" s="72">
        <v>8500</v>
      </c>
      <c r="H49" s="73">
        <v>425</v>
      </c>
      <c r="I49" s="73">
        <v>425</v>
      </c>
      <c r="J49" s="74">
        <v>9350</v>
      </c>
      <c r="K49" s="75">
        <v>9500</v>
      </c>
    </row>
    <row r="50" spans="1:11" x14ac:dyDescent="0.25">
      <c r="A50" s="9">
        <v>49</v>
      </c>
      <c r="B50" s="59" t="s">
        <v>378</v>
      </c>
      <c r="C50" s="100" t="s">
        <v>96</v>
      </c>
      <c r="D50" s="70" t="s">
        <v>279</v>
      </c>
      <c r="E50" s="71" t="s">
        <v>127</v>
      </c>
      <c r="F50" s="70" t="s">
        <v>128</v>
      </c>
      <c r="G50" s="72">
        <v>2000</v>
      </c>
      <c r="H50" s="73">
        <v>100</v>
      </c>
      <c r="I50" s="73">
        <v>100</v>
      </c>
      <c r="J50" s="74">
        <v>2200</v>
      </c>
      <c r="K50" s="75">
        <v>2500</v>
      </c>
    </row>
    <row r="51" spans="1:11" x14ac:dyDescent="0.25">
      <c r="A51" s="9">
        <v>50</v>
      </c>
      <c r="B51" s="59" t="s">
        <v>379</v>
      </c>
      <c r="C51" s="100" t="s">
        <v>96</v>
      </c>
      <c r="D51" s="70" t="s">
        <v>283</v>
      </c>
      <c r="E51" s="71" t="s">
        <v>463</v>
      </c>
      <c r="F51" s="70" t="s">
        <v>136</v>
      </c>
      <c r="G51" s="72">
        <v>12000</v>
      </c>
      <c r="H51" s="73">
        <v>600</v>
      </c>
      <c r="I51" s="73">
        <v>600</v>
      </c>
      <c r="J51" s="74">
        <v>13200</v>
      </c>
      <c r="K51" s="75">
        <v>13000</v>
      </c>
    </row>
    <row r="52" spans="1:11" x14ac:dyDescent="0.25">
      <c r="A52" s="9">
        <v>51</v>
      </c>
      <c r="B52" s="59" t="s">
        <v>380</v>
      </c>
      <c r="C52" s="100" t="s">
        <v>96</v>
      </c>
      <c r="D52" s="70" t="s">
        <v>283</v>
      </c>
      <c r="E52" s="71" t="s">
        <v>314</v>
      </c>
      <c r="F52" s="70" t="s">
        <v>132</v>
      </c>
      <c r="G52" s="72">
        <v>6000</v>
      </c>
      <c r="H52" s="73">
        <v>300</v>
      </c>
      <c r="I52" s="73">
        <v>300</v>
      </c>
      <c r="J52" s="74">
        <v>6600</v>
      </c>
      <c r="K52" s="75">
        <v>6600</v>
      </c>
    </row>
    <row r="53" spans="1:11" x14ac:dyDescent="0.25">
      <c r="A53" s="9">
        <v>52</v>
      </c>
      <c r="B53" s="59" t="s">
        <v>381</v>
      </c>
      <c r="C53" s="100" t="s">
        <v>96</v>
      </c>
      <c r="D53" s="70" t="s">
        <v>283</v>
      </c>
      <c r="E53" s="71" t="s">
        <v>455</v>
      </c>
      <c r="F53" s="70" t="s">
        <v>454</v>
      </c>
      <c r="G53" s="72">
        <v>6000</v>
      </c>
      <c r="H53" s="73">
        <v>300</v>
      </c>
      <c r="I53" s="73">
        <v>300</v>
      </c>
      <c r="J53" s="74">
        <v>6600</v>
      </c>
      <c r="K53" s="75">
        <v>6600</v>
      </c>
    </row>
    <row r="54" spans="1:11" x14ac:dyDescent="0.25">
      <c r="A54" s="9">
        <v>53</v>
      </c>
      <c r="B54" s="59" t="s">
        <v>382</v>
      </c>
      <c r="C54" s="100" t="s">
        <v>96</v>
      </c>
      <c r="D54" s="70" t="s">
        <v>283</v>
      </c>
      <c r="E54" s="71" t="s">
        <v>456</v>
      </c>
      <c r="F54" s="70" t="s">
        <v>140</v>
      </c>
      <c r="G54" s="72">
        <v>12000</v>
      </c>
      <c r="H54" s="73">
        <v>600</v>
      </c>
      <c r="I54" s="73">
        <v>600</v>
      </c>
      <c r="J54" s="74">
        <v>13200</v>
      </c>
      <c r="K54" s="75">
        <v>13000</v>
      </c>
    </row>
    <row r="55" spans="1:11" x14ac:dyDescent="0.25">
      <c r="A55" s="9">
        <v>54</v>
      </c>
      <c r="B55" s="59" t="s">
        <v>383</v>
      </c>
      <c r="C55" s="100" t="s">
        <v>96</v>
      </c>
      <c r="D55" s="70" t="s">
        <v>283</v>
      </c>
      <c r="E55" s="71" t="s">
        <v>315</v>
      </c>
      <c r="F55" s="70" t="s">
        <v>114</v>
      </c>
      <c r="G55" s="72">
        <v>10000</v>
      </c>
      <c r="H55" s="73">
        <v>500</v>
      </c>
      <c r="I55" s="73">
        <v>500</v>
      </c>
      <c r="J55" s="74">
        <v>11000</v>
      </c>
      <c r="K55" s="75">
        <v>11000</v>
      </c>
    </row>
    <row r="56" spans="1:11" x14ac:dyDescent="0.25">
      <c r="A56" s="9">
        <v>55</v>
      </c>
      <c r="B56" s="59" t="s">
        <v>384</v>
      </c>
      <c r="C56" s="100" t="s">
        <v>96</v>
      </c>
      <c r="D56" s="70" t="s">
        <v>283</v>
      </c>
      <c r="E56" s="71" t="s">
        <v>457</v>
      </c>
      <c r="F56" s="70" t="s">
        <v>114</v>
      </c>
      <c r="G56" s="72">
        <v>12000</v>
      </c>
      <c r="H56" s="73">
        <v>600</v>
      </c>
      <c r="I56" s="73">
        <v>600</v>
      </c>
      <c r="J56" s="74">
        <v>13200</v>
      </c>
      <c r="K56" s="75">
        <v>13500</v>
      </c>
    </row>
    <row r="57" spans="1:11" x14ac:dyDescent="0.25">
      <c r="A57" s="9">
        <v>56</v>
      </c>
      <c r="B57" s="59" t="s">
        <v>385</v>
      </c>
      <c r="C57" s="100" t="s">
        <v>96</v>
      </c>
      <c r="D57" s="70" t="s">
        <v>283</v>
      </c>
      <c r="E57" s="71" t="s">
        <v>316</v>
      </c>
      <c r="F57" s="70" t="s">
        <v>132</v>
      </c>
      <c r="G57" s="72">
        <v>6000</v>
      </c>
      <c r="H57" s="73">
        <v>300</v>
      </c>
      <c r="I57" s="73">
        <v>300</v>
      </c>
      <c r="J57" s="74">
        <v>6600</v>
      </c>
      <c r="K57" s="75">
        <v>7000</v>
      </c>
    </row>
    <row r="58" spans="1:11" s="55" customFormat="1" x14ac:dyDescent="0.25">
      <c r="A58" s="9">
        <v>57</v>
      </c>
      <c r="B58" s="59" t="s">
        <v>386</v>
      </c>
      <c r="C58" s="100" t="s">
        <v>96</v>
      </c>
      <c r="D58" s="70" t="s">
        <v>283</v>
      </c>
      <c r="E58" s="71" t="s">
        <v>458</v>
      </c>
      <c r="F58" s="70" t="s">
        <v>131</v>
      </c>
      <c r="G58" s="72">
        <v>12000</v>
      </c>
      <c r="H58" s="73">
        <v>600</v>
      </c>
      <c r="I58" s="73">
        <v>600</v>
      </c>
      <c r="J58" s="74">
        <v>13200</v>
      </c>
      <c r="K58" s="75">
        <v>13000</v>
      </c>
    </row>
    <row r="59" spans="1:11" s="55" customFormat="1" x14ac:dyDescent="0.25">
      <c r="A59" s="9">
        <v>58</v>
      </c>
      <c r="B59" s="59" t="s">
        <v>387</v>
      </c>
      <c r="C59" s="100" t="s">
        <v>96</v>
      </c>
      <c r="D59" s="70" t="s">
        <v>283</v>
      </c>
      <c r="E59" s="71" t="s">
        <v>464</v>
      </c>
      <c r="F59" s="70" t="s">
        <v>454</v>
      </c>
      <c r="G59" s="72">
        <v>6000</v>
      </c>
      <c r="H59" s="73">
        <v>300</v>
      </c>
      <c r="I59" s="73">
        <v>300</v>
      </c>
      <c r="J59" s="74">
        <v>6600</v>
      </c>
      <c r="K59" s="75">
        <v>6600</v>
      </c>
    </row>
    <row r="60" spans="1:11" x14ac:dyDescent="0.25">
      <c r="A60" s="9">
        <v>59</v>
      </c>
      <c r="B60" s="59" t="s">
        <v>388</v>
      </c>
      <c r="C60" s="100" t="s">
        <v>96</v>
      </c>
      <c r="D60" s="70" t="s">
        <v>280</v>
      </c>
      <c r="E60" s="71" t="s">
        <v>115</v>
      </c>
      <c r="F60" s="70" t="s">
        <v>116</v>
      </c>
      <c r="G60" s="72">
        <v>4000</v>
      </c>
      <c r="H60" s="73">
        <v>200</v>
      </c>
      <c r="I60" s="73">
        <v>200</v>
      </c>
      <c r="J60" s="74">
        <v>4400</v>
      </c>
      <c r="K60" s="75">
        <v>4500</v>
      </c>
    </row>
    <row r="61" spans="1:11" x14ac:dyDescent="0.25">
      <c r="A61" s="9">
        <v>60</v>
      </c>
      <c r="B61" s="59" t="s">
        <v>389</v>
      </c>
      <c r="C61" s="100" t="s">
        <v>96</v>
      </c>
      <c r="D61" s="70" t="s">
        <v>276</v>
      </c>
      <c r="E61" s="71" t="s">
        <v>470</v>
      </c>
      <c r="F61" s="70" t="s">
        <v>100</v>
      </c>
      <c r="G61" s="72">
        <v>4000</v>
      </c>
      <c r="H61" s="73">
        <v>200</v>
      </c>
      <c r="I61" s="73">
        <v>200</v>
      </c>
      <c r="J61" s="74">
        <v>4400</v>
      </c>
      <c r="K61" s="75">
        <v>4500</v>
      </c>
    </row>
    <row r="62" spans="1:11" x14ac:dyDescent="0.25">
      <c r="A62" s="9">
        <v>61</v>
      </c>
      <c r="B62" s="59" t="s">
        <v>390</v>
      </c>
      <c r="C62" s="100" t="s">
        <v>96</v>
      </c>
      <c r="D62" s="70" t="s">
        <v>276</v>
      </c>
      <c r="E62" s="71" t="s">
        <v>471</v>
      </c>
      <c r="F62" s="70" t="s">
        <v>38</v>
      </c>
      <c r="G62" s="72">
        <v>7500</v>
      </c>
      <c r="H62" s="73">
        <v>375</v>
      </c>
      <c r="I62" s="73">
        <v>375</v>
      </c>
      <c r="J62" s="74">
        <v>8250</v>
      </c>
      <c r="K62" s="75">
        <v>8500</v>
      </c>
    </row>
    <row r="63" spans="1:11" x14ac:dyDescent="0.25">
      <c r="A63" s="9">
        <v>62</v>
      </c>
      <c r="B63" s="59" t="s">
        <v>391</v>
      </c>
      <c r="C63" s="100" t="s">
        <v>96</v>
      </c>
      <c r="D63" s="70" t="s">
        <v>276</v>
      </c>
      <c r="E63" s="71" t="s">
        <v>465</v>
      </c>
      <c r="F63" s="70" t="s">
        <v>75</v>
      </c>
      <c r="G63" s="72">
        <v>14000</v>
      </c>
      <c r="H63" s="73">
        <v>700</v>
      </c>
      <c r="I63" s="73">
        <v>700</v>
      </c>
      <c r="J63" s="74">
        <v>15400</v>
      </c>
      <c r="K63" s="75">
        <v>16500</v>
      </c>
    </row>
    <row r="64" spans="1:11" ht="60" x14ac:dyDescent="0.25">
      <c r="A64" s="9">
        <v>63</v>
      </c>
      <c r="B64" s="60" t="s">
        <v>392</v>
      </c>
      <c r="C64" s="101" t="s">
        <v>96</v>
      </c>
      <c r="D64" s="76" t="s">
        <v>276</v>
      </c>
      <c r="E64" s="77" t="s">
        <v>450</v>
      </c>
      <c r="F64" s="76" t="s">
        <v>75</v>
      </c>
      <c r="G64" s="78">
        <v>17000</v>
      </c>
      <c r="H64" s="79">
        <v>850</v>
      </c>
      <c r="I64" s="79">
        <v>850</v>
      </c>
      <c r="J64" s="80">
        <v>18700</v>
      </c>
      <c r="K64" s="81">
        <v>18700</v>
      </c>
    </row>
    <row r="65" spans="1:11" ht="60" x14ac:dyDescent="0.25">
      <c r="A65" s="9">
        <v>64</v>
      </c>
      <c r="B65" s="60" t="s">
        <v>393</v>
      </c>
      <c r="C65" s="101" t="s">
        <v>96</v>
      </c>
      <c r="D65" s="76" t="s">
        <v>276</v>
      </c>
      <c r="E65" s="77" t="s">
        <v>449</v>
      </c>
      <c r="F65" s="76" t="s">
        <v>106</v>
      </c>
      <c r="G65" s="78">
        <v>32000</v>
      </c>
      <c r="H65" s="79">
        <v>1600</v>
      </c>
      <c r="I65" s="79">
        <v>1600</v>
      </c>
      <c r="J65" s="80">
        <v>35200</v>
      </c>
      <c r="K65" s="81">
        <v>35200</v>
      </c>
    </row>
    <row r="66" spans="1:11" x14ac:dyDescent="0.25">
      <c r="A66" s="9">
        <v>65</v>
      </c>
      <c r="B66" s="59" t="s">
        <v>394</v>
      </c>
      <c r="C66" s="100" t="s">
        <v>96</v>
      </c>
      <c r="D66" s="70" t="s">
        <v>280</v>
      </c>
      <c r="E66" s="71" t="s">
        <v>117</v>
      </c>
      <c r="F66" s="70" t="s">
        <v>59</v>
      </c>
      <c r="G66" s="72">
        <v>6000</v>
      </c>
      <c r="H66" s="73">
        <v>300</v>
      </c>
      <c r="I66" s="73">
        <v>300</v>
      </c>
      <c r="J66" s="74">
        <v>6600</v>
      </c>
      <c r="K66" s="75">
        <v>6600</v>
      </c>
    </row>
    <row r="67" spans="1:11" x14ac:dyDescent="0.25">
      <c r="A67" s="9">
        <v>66</v>
      </c>
      <c r="B67" s="59" t="s">
        <v>395</v>
      </c>
      <c r="C67" s="100" t="s">
        <v>96</v>
      </c>
      <c r="D67" s="70" t="s">
        <v>280</v>
      </c>
      <c r="E67" s="71" t="s">
        <v>117</v>
      </c>
      <c r="F67" s="70" t="s">
        <v>60</v>
      </c>
      <c r="G67" s="72">
        <v>3000</v>
      </c>
      <c r="H67" s="73">
        <v>150</v>
      </c>
      <c r="I67" s="73">
        <v>150</v>
      </c>
      <c r="J67" s="74">
        <v>3300</v>
      </c>
      <c r="K67" s="75">
        <v>3300</v>
      </c>
    </row>
    <row r="68" spans="1:11" ht="30" x14ac:dyDescent="0.25">
      <c r="A68" s="9">
        <v>67</v>
      </c>
      <c r="B68" s="60" t="s">
        <v>396</v>
      </c>
      <c r="C68" s="101" t="s">
        <v>96</v>
      </c>
      <c r="D68" s="76" t="s">
        <v>276</v>
      </c>
      <c r="E68" s="77" t="s">
        <v>317</v>
      </c>
      <c r="F68" s="76" t="s">
        <v>296</v>
      </c>
      <c r="G68" s="78">
        <v>25000</v>
      </c>
      <c r="H68" s="79">
        <v>1250</v>
      </c>
      <c r="I68" s="79">
        <v>1250</v>
      </c>
      <c r="J68" s="80">
        <v>27500</v>
      </c>
      <c r="K68" s="81">
        <v>27500</v>
      </c>
    </row>
    <row r="69" spans="1:11" x14ac:dyDescent="0.25">
      <c r="A69" s="9">
        <v>68</v>
      </c>
      <c r="B69" s="59" t="s">
        <v>397</v>
      </c>
      <c r="C69" s="100" t="s">
        <v>96</v>
      </c>
      <c r="D69" s="70" t="s">
        <v>280</v>
      </c>
      <c r="E69" s="71" t="s">
        <v>166</v>
      </c>
      <c r="F69" s="70" t="s">
        <v>119</v>
      </c>
      <c r="G69" s="72">
        <v>6500</v>
      </c>
      <c r="H69" s="73">
        <f>+Oferta[[#This Row],[Costo Pcc]]*0.05</f>
        <v>325</v>
      </c>
      <c r="I69" s="73">
        <f>+Oferta[[#This Row],[Costo Pcc]]*0.05</f>
        <v>325</v>
      </c>
      <c r="J69" s="74">
        <f>+Oferta[[#This Row],[Costo Pcc]]+Oferta[[#This Row],[% Logística]]</f>
        <v>6825</v>
      </c>
      <c r="K69" s="75">
        <v>6800</v>
      </c>
    </row>
    <row r="70" spans="1:11" x14ac:dyDescent="0.25">
      <c r="A70" s="9">
        <v>69</v>
      </c>
      <c r="B70" s="59" t="s">
        <v>398</v>
      </c>
      <c r="C70" s="100" t="s">
        <v>96</v>
      </c>
      <c r="D70" s="70" t="s">
        <v>280</v>
      </c>
      <c r="E70" s="71" t="s">
        <v>166</v>
      </c>
      <c r="F70" s="70" t="s">
        <v>120</v>
      </c>
      <c r="G70" s="72">
        <v>3500</v>
      </c>
      <c r="H70" s="73">
        <f>+Oferta[[#This Row],[Costo Pcc]]*0.05</f>
        <v>175</v>
      </c>
      <c r="I70" s="73">
        <f>+Oferta[[#This Row],[Costo Pcc]]*0.05</f>
        <v>175</v>
      </c>
      <c r="J70" s="74">
        <f>+Oferta[[#This Row],[Costo Pcc]]+Oferta[[#This Row],[% Logística]]</f>
        <v>3675</v>
      </c>
      <c r="K70" s="75">
        <v>3600</v>
      </c>
    </row>
    <row r="71" spans="1:11" x14ac:dyDescent="0.25">
      <c r="A71" s="9">
        <v>70</v>
      </c>
      <c r="B71" s="59" t="s">
        <v>399</v>
      </c>
      <c r="C71" s="100" t="s">
        <v>96</v>
      </c>
      <c r="D71" s="70" t="s">
        <v>280</v>
      </c>
      <c r="E71" s="71" t="s">
        <v>318</v>
      </c>
      <c r="F71" s="70" t="s">
        <v>119</v>
      </c>
      <c r="G71" s="72">
        <v>6000</v>
      </c>
      <c r="H71" s="73">
        <v>300</v>
      </c>
      <c r="I71" s="73">
        <v>300</v>
      </c>
      <c r="J71" s="74">
        <v>6600</v>
      </c>
      <c r="K71" s="75">
        <v>7000</v>
      </c>
    </row>
    <row r="72" spans="1:11" x14ac:dyDescent="0.25">
      <c r="A72" s="9">
        <v>71</v>
      </c>
      <c r="B72" s="59" t="s">
        <v>400</v>
      </c>
      <c r="C72" s="100" t="s">
        <v>96</v>
      </c>
      <c r="D72" s="70" t="s">
        <v>280</v>
      </c>
      <c r="E72" s="71" t="s">
        <v>318</v>
      </c>
      <c r="F72" s="70" t="s">
        <v>120</v>
      </c>
      <c r="G72" s="72">
        <v>3000</v>
      </c>
      <c r="H72" s="73">
        <v>150</v>
      </c>
      <c r="I72" s="73">
        <v>150</v>
      </c>
      <c r="J72" s="74">
        <v>3300</v>
      </c>
      <c r="K72" s="75">
        <v>3500</v>
      </c>
    </row>
    <row r="73" spans="1:11" x14ac:dyDescent="0.25">
      <c r="A73" s="9">
        <v>72</v>
      </c>
      <c r="B73" s="59" t="s">
        <v>401</v>
      </c>
      <c r="C73" s="100" t="s">
        <v>96</v>
      </c>
      <c r="D73" s="70" t="s">
        <v>284</v>
      </c>
      <c r="E73" s="71" t="s">
        <v>462</v>
      </c>
      <c r="F73" s="70" t="s">
        <v>113</v>
      </c>
      <c r="G73" s="72">
        <v>18000</v>
      </c>
      <c r="H73" s="73">
        <v>900</v>
      </c>
      <c r="I73" s="73">
        <v>900</v>
      </c>
      <c r="J73" s="74">
        <v>19800</v>
      </c>
      <c r="K73" s="75">
        <v>19800</v>
      </c>
    </row>
    <row r="74" spans="1:11" x14ac:dyDescent="0.25">
      <c r="A74" s="9">
        <v>73</v>
      </c>
      <c r="B74" s="59" t="s">
        <v>489</v>
      </c>
      <c r="C74" s="100" t="s">
        <v>96</v>
      </c>
      <c r="D74" s="70" t="s">
        <v>284</v>
      </c>
      <c r="E74" s="71" t="s">
        <v>488</v>
      </c>
      <c r="F74" s="70" t="s">
        <v>114</v>
      </c>
      <c r="G74" s="72">
        <v>9000</v>
      </c>
      <c r="H74" s="73">
        <v>450</v>
      </c>
      <c r="I74" s="73">
        <v>450</v>
      </c>
      <c r="J74" s="74">
        <v>9900</v>
      </c>
      <c r="K74" s="75">
        <v>10000</v>
      </c>
    </row>
    <row r="75" spans="1:11" s="55" customFormat="1" x14ac:dyDescent="0.25">
      <c r="A75" s="9">
        <v>74</v>
      </c>
      <c r="B75" s="59" t="s">
        <v>402</v>
      </c>
      <c r="C75" s="100" t="s">
        <v>96</v>
      </c>
      <c r="D75" s="70" t="s">
        <v>279</v>
      </c>
      <c r="E75" s="71" t="s">
        <v>466</v>
      </c>
      <c r="F75" s="70" t="s">
        <v>21</v>
      </c>
      <c r="G75" s="72">
        <v>5000</v>
      </c>
      <c r="H75" s="73">
        <v>250</v>
      </c>
      <c r="I75" s="73">
        <v>250</v>
      </c>
      <c r="J75" s="74">
        <v>5500</v>
      </c>
      <c r="K75" s="75">
        <v>5500</v>
      </c>
    </row>
    <row r="76" spans="1:11" x14ac:dyDescent="0.25">
      <c r="A76" s="9">
        <v>75</v>
      </c>
      <c r="B76" s="59" t="s">
        <v>403</v>
      </c>
      <c r="C76" s="100" t="s">
        <v>96</v>
      </c>
      <c r="D76" s="70" t="s">
        <v>279</v>
      </c>
      <c r="E76" s="71" t="s">
        <v>467</v>
      </c>
      <c r="F76" s="70" t="s">
        <v>15</v>
      </c>
      <c r="G76" s="72">
        <v>10000</v>
      </c>
      <c r="H76" s="73">
        <v>500</v>
      </c>
      <c r="I76" s="73">
        <v>500</v>
      </c>
      <c r="J76" s="74">
        <v>11000</v>
      </c>
      <c r="K76" s="75">
        <v>10000</v>
      </c>
    </row>
    <row r="77" spans="1:11" x14ac:dyDescent="0.25">
      <c r="A77" s="9">
        <v>76</v>
      </c>
      <c r="B77" s="59" t="s">
        <v>404</v>
      </c>
      <c r="C77" s="100" t="s">
        <v>96</v>
      </c>
      <c r="D77" s="70" t="s">
        <v>279</v>
      </c>
      <c r="E77" s="71" t="s">
        <v>472</v>
      </c>
      <c r="F77" s="70" t="s">
        <v>110</v>
      </c>
      <c r="G77" s="72">
        <v>5000</v>
      </c>
      <c r="H77" s="73">
        <v>250</v>
      </c>
      <c r="I77" s="73">
        <v>250</v>
      </c>
      <c r="J77" s="74">
        <v>5500</v>
      </c>
      <c r="K77" s="75">
        <v>5500</v>
      </c>
    </row>
    <row r="78" spans="1:11" x14ac:dyDescent="0.25">
      <c r="A78" s="9">
        <v>77</v>
      </c>
      <c r="B78" s="59" t="s">
        <v>405</v>
      </c>
      <c r="C78" s="100" t="s">
        <v>96</v>
      </c>
      <c r="D78" s="70" t="s">
        <v>279</v>
      </c>
      <c r="E78" s="71" t="s">
        <v>459</v>
      </c>
      <c r="F78" s="70" t="s">
        <v>15</v>
      </c>
      <c r="G78" s="72">
        <v>10000</v>
      </c>
      <c r="H78" s="73">
        <v>500</v>
      </c>
      <c r="I78" s="73">
        <v>500</v>
      </c>
      <c r="J78" s="74">
        <v>11000</v>
      </c>
      <c r="K78" s="75">
        <v>10000</v>
      </c>
    </row>
    <row r="79" spans="1:11" x14ac:dyDescent="0.25">
      <c r="A79" s="9">
        <v>78</v>
      </c>
      <c r="B79" s="59" t="s">
        <v>406</v>
      </c>
      <c r="C79" s="100" t="s">
        <v>96</v>
      </c>
      <c r="D79" s="70" t="s">
        <v>279</v>
      </c>
      <c r="E79" s="71" t="s">
        <v>448</v>
      </c>
      <c r="F79" s="70" t="s">
        <v>15</v>
      </c>
      <c r="G79" s="72">
        <v>8000</v>
      </c>
      <c r="H79" s="73">
        <v>400</v>
      </c>
      <c r="I79" s="73">
        <v>400</v>
      </c>
      <c r="J79" s="74">
        <v>8800</v>
      </c>
      <c r="K79" s="75">
        <v>8800</v>
      </c>
    </row>
    <row r="80" spans="1:11" x14ac:dyDescent="0.25">
      <c r="A80" s="9">
        <v>79</v>
      </c>
      <c r="B80" s="59" t="s">
        <v>469</v>
      </c>
      <c r="C80" s="100" t="s">
        <v>96</v>
      </c>
      <c r="D80" s="70" t="s">
        <v>279</v>
      </c>
      <c r="E80" s="71" t="s">
        <v>468</v>
      </c>
      <c r="F80" s="70" t="s">
        <v>21</v>
      </c>
      <c r="G80" s="72">
        <v>4000</v>
      </c>
      <c r="H80" s="73">
        <v>200</v>
      </c>
      <c r="I80" s="73">
        <v>200</v>
      </c>
      <c r="J80" s="74">
        <v>4400</v>
      </c>
      <c r="K80" s="75">
        <v>4500</v>
      </c>
    </row>
    <row r="81" spans="1:11" ht="13.15" customHeight="1" x14ac:dyDescent="0.25">
      <c r="A81" s="9">
        <v>80</v>
      </c>
      <c r="B81" s="59" t="s">
        <v>407</v>
      </c>
      <c r="C81" s="100" t="s">
        <v>96</v>
      </c>
      <c r="D81" s="70" t="s">
        <v>279</v>
      </c>
      <c r="E81" s="71" t="s">
        <v>126</v>
      </c>
      <c r="F81" s="70" t="s">
        <v>21</v>
      </c>
      <c r="G81" s="72">
        <v>4000</v>
      </c>
      <c r="H81" s="73">
        <v>200</v>
      </c>
      <c r="I81" s="73">
        <v>200</v>
      </c>
      <c r="J81" s="74">
        <v>4400</v>
      </c>
      <c r="K81" s="75">
        <v>5000</v>
      </c>
    </row>
    <row r="82" spans="1:11" x14ac:dyDescent="0.25">
      <c r="A82" s="9">
        <v>81</v>
      </c>
      <c r="B82" s="59" t="s">
        <v>490</v>
      </c>
      <c r="C82" s="100" t="s">
        <v>96</v>
      </c>
      <c r="D82" s="70" t="s">
        <v>294</v>
      </c>
      <c r="E82" s="71" t="s">
        <v>129</v>
      </c>
      <c r="F82" s="70" t="s">
        <v>81</v>
      </c>
      <c r="G82" s="72">
        <v>5000</v>
      </c>
      <c r="H82" s="73">
        <v>250</v>
      </c>
      <c r="I82" s="73">
        <v>250</v>
      </c>
      <c r="J82" s="74">
        <v>5500</v>
      </c>
      <c r="K82" s="75">
        <v>5500</v>
      </c>
    </row>
    <row r="83" spans="1:11" x14ac:dyDescent="0.25">
      <c r="A83" s="9">
        <v>82</v>
      </c>
      <c r="B83" s="59" t="s">
        <v>408</v>
      </c>
      <c r="C83" s="100" t="s">
        <v>96</v>
      </c>
      <c r="D83" s="70" t="s">
        <v>299</v>
      </c>
      <c r="E83" s="71" t="s">
        <v>319</v>
      </c>
      <c r="F83" s="70" t="s">
        <v>300</v>
      </c>
      <c r="G83" s="72">
        <v>60000</v>
      </c>
      <c r="H83" s="73">
        <v>3000</v>
      </c>
      <c r="I83" s="73">
        <v>3000</v>
      </c>
      <c r="J83" s="74">
        <v>66000</v>
      </c>
      <c r="K83" s="75">
        <v>60000</v>
      </c>
    </row>
    <row r="84" spans="1:11" x14ac:dyDescent="0.25">
      <c r="A84" s="9">
        <v>83</v>
      </c>
      <c r="B84" s="59" t="s">
        <v>409</v>
      </c>
      <c r="C84" s="100" t="s">
        <v>96</v>
      </c>
      <c r="D84" s="70" t="s">
        <v>299</v>
      </c>
      <c r="E84" s="71" t="s">
        <v>320</v>
      </c>
      <c r="F84" s="70" t="s">
        <v>300</v>
      </c>
      <c r="G84" s="72">
        <v>40000</v>
      </c>
      <c r="H84" s="73">
        <v>2000</v>
      </c>
      <c r="I84" s="73">
        <v>2000</v>
      </c>
      <c r="J84" s="74">
        <v>44000</v>
      </c>
      <c r="K84" s="75">
        <v>40000</v>
      </c>
    </row>
    <row r="85" spans="1:11" x14ac:dyDescent="0.25">
      <c r="A85" s="9">
        <v>84</v>
      </c>
      <c r="B85" s="59" t="s">
        <v>410</v>
      </c>
      <c r="C85" s="100" t="s">
        <v>96</v>
      </c>
      <c r="D85" s="70" t="s">
        <v>292</v>
      </c>
      <c r="E85" s="71" t="s">
        <v>326</v>
      </c>
      <c r="F85" s="70" t="s">
        <v>116</v>
      </c>
      <c r="G85" s="72">
        <v>40000</v>
      </c>
      <c r="H85" s="73">
        <f>G85*5%</f>
        <v>2000</v>
      </c>
      <c r="I85" s="73">
        <f>G85*5%</f>
        <v>2000</v>
      </c>
      <c r="J85" s="74">
        <f>G85+H85+I85</f>
        <v>44000</v>
      </c>
      <c r="K85" s="75">
        <v>40000</v>
      </c>
    </row>
    <row r="86" spans="1:11" x14ac:dyDescent="0.25">
      <c r="A86" s="9">
        <v>85</v>
      </c>
      <c r="B86" s="59" t="s">
        <v>473</v>
      </c>
      <c r="C86" s="100" t="s">
        <v>96</v>
      </c>
      <c r="D86" s="70" t="s">
        <v>292</v>
      </c>
      <c r="E86" s="71" t="s">
        <v>476</v>
      </c>
      <c r="F86" s="70" t="s">
        <v>116</v>
      </c>
      <c r="G86" s="72">
        <v>25000</v>
      </c>
      <c r="H86" s="73">
        <f>+Oferta[[#This Row],[Costo Pcc]]*0.05</f>
        <v>1250</v>
      </c>
      <c r="I86" s="73">
        <f>+Oferta[[#This Row],[Costo Pcc]]*0.05</f>
        <v>1250</v>
      </c>
      <c r="J86" s="74">
        <f>+Oferta[[#This Row],[Costo Pcc]]+Oferta[[#This Row],[% Logística]]+Oferta[[#This Row],[%Transporte]]</f>
        <v>27500</v>
      </c>
      <c r="K86" s="75">
        <v>27500</v>
      </c>
    </row>
    <row r="87" spans="1:11" x14ac:dyDescent="0.25">
      <c r="A87" s="9">
        <v>86</v>
      </c>
      <c r="B87" s="59" t="s">
        <v>474</v>
      </c>
      <c r="C87" s="100" t="s">
        <v>96</v>
      </c>
      <c r="D87" s="70" t="s">
        <v>292</v>
      </c>
      <c r="E87" s="71" t="s">
        <v>475</v>
      </c>
      <c r="F87" s="70" t="s">
        <v>116</v>
      </c>
      <c r="G87" s="72">
        <v>25000</v>
      </c>
      <c r="H87" s="73">
        <f>+Oferta[[#This Row],[Costo Pcc]]*0.05</f>
        <v>1250</v>
      </c>
      <c r="I87" s="73">
        <f>+Oferta[[#This Row],[Costo Pcc]]*0.05</f>
        <v>1250</v>
      </c>
      <c r="J87" s="74">
        <f>+Oferta[[#This Row],[Costo Pcc]]+Oferta[[#This Row],[% Logística]]+Oferta[[#This Row],[%Transporte]]</f>
        <v>27500</v>
      </c>
      <c r="K87" s="75">
        <v>27500</v>
      </c>
    </row>
    <row r="88" spans="1:11" x14ac:dyDescent="0.25">
      <c r="A88" s="9">
        <v>87</v>
      </c>
      <c r="B88" s="59" t="s">
        <v>411</v>
      </c>
      <c r="C88" s="100" t="s">
        <v>164</v>
      </c>
      <c r="D88" s="70" t="s">
        <v>280</v>
      </c>
      <c r="E88" s="71" t="s">
        <v>166</v>
      </c>
      <c r="F88" s="70" t="s">
        <v>120</v>
      </c>
      <c r="G88" s="72">
        <v>3000</v>
      </c>
      <c r="H88" s="73">
        <f>+Oferta[[#This Row],[Costo Pcc]]*0.05</f>
        <v>150</v>
      </c>
      <c r="I88" s="73">
        <f>+Oferta[[#This Row],[Costo Pcc]]*0.05</f>
        <v>150</v>
      </c>
      <c r="J88" s="74">
        <f>+Oferta[[#This Row],[Costo Pcc]]+Oferta[[#This Row],[% Logística]]+Oferta[[#This Row],[%Transporte]]</f>
        <v>3300</v>
      </c>
      <c r="K88" s="75">
        <v>3300</v>
      </c>
    </row>
    <row r="89" spans="1:11" x14ac:dyDescent="0.25">
      <c r="A89" s="9">
        <v>88</v>
      </c>
      <c r="B89" s="59" t="s">
        <v>412</v>
      </c>
      <c r="C89" s="100" t="s">
        <v>164</v>
      </c>
      <c r="D89" s="70" t="s">
        <v>280</v>
      </c>
      <c r="E89" s="71" t="s">
        <v>166</v>
      </c>
      <c r="F89" s="70" t="s">
        <v>119</v>
      </c>
      <c r="G89" s="72">
        <v>6000</v>
      </c>
      <c r="H89" s="73">
        <f>+Oferta[[#This Row],[Costo Pcc]]*0.05</f>
        <v>300</v>
      </c>
      <c r="I89" s="73">
        <f>+Oferta[[#This Row],[Costo Pcc]]*0.05</f>
        <v>300</v>
      </c>
      <c r="J89" s="74">
        <f>+Oferta[[#This Row],[Costo Pcc]]+Oferta[[#This Row],[% Logística]]+Oferta[[#This Row],[%Transporte]]</f>
        <v>6600</v>
      </c>
      <c r="K89" s="75">
        <v>6600</v>
      </c>
    </row>
    <row r="90" spans="1:11" x14ac:dyDescent="0.25">
      <c r="A90" s="9">
        <v>89</v>
      </c>
      <c r="B90" s="59" t="s">
        <v>413</v>
      </c>
      <c r="C90" s="100" t="s">
        <v>164</v>
      </c>
      <c r="D90" s="70" t="s">
        <v>294</v>
      </c>
      <c r="E90" s="71" t="s">
        <v>165</v>
      </c>
      <c r="F90" s="70" t="s">
        <v>81</v>
      </c>
      <c r="G90" s="72">
        <v>3000</v>
      </c>
      <c r="H90" s="73">
        <v>150</v>
      </c>
      <c r="I90" s="73">
        <v>150</v>
      </c>
      <c r="J90" s="74">
        <v>3300</v>
      </c>
      <c r="K90" s="75">
        <v>3500</v>
      </c>
    </row>
    <row r="91" spans="1:11" x14ac:dyDescent="0.25">
      <c r="A91" s="9">
        <v>90</v>
      </c>
      <c r="B91" s="59" t="s">
        <v>414</v>
      </c>
      <c r="C91" s="100" t="s">
        <v>164</v>
      </c>
      <c r="D91" s="70" t="s">
        <v>294</v>
      </c>
      <c r="E91" s="71" t="s">
        <v>165</v>
      </c>
      <c r="F91" s="70" t="s">
        <v>116</v>
      </c>
      <c r="G91" s="72">
        <v>1500</v>
      </c>
      <c r="H91" s="73">
        <v>75</v>
      </c>
      <c r="I91" s="73">
        <v>75</v>
      </c>
      <c r="J91" s="74">
        <v>1650</v>
      </c>
      <c r="K91" s="75">
        <v>2000</v>
      </c>
    </row>
    <row r="92" spans="1:11" x14ac:dyDescent="0.25">
      <c r="A92" s="9">
        <v>91</v>
      </c>
      <c r="B92" s="59" t="s">
        <v>415</v>
      </c>
      <c r="C92" s="100" t="s">
        <v>169</v>
      </c>
      <c r="D92" s="70" t="s">
        <v>274</v>
      </c>
      <c r="E92" s="71" t="s">
        <v>182</v>
      </c>
      <c r="F92" s="70" t="s">
        <v>183</v>
      </c>
      <c r="G92" s="72">
        <v>2600</v>
      </c>
      <c r="H92" s="73">
        <v>130</v>
      </c>
      <c r="I92" s="73">
        <v>130</v>
      </c>
      <c r="J92" s="74">
        <v>2860</v>
      </c>
      <c r="K92" s="75">
        <v>3000</v>
      </c>
    </row>
    <row r="93" spans="1:11" x14ac:dyDescent="0.25">
      <c r="A93" s="9">
        <v>92</v>
      </c>
      <c r="B93" s="59" t="s">
        <v>416</v>
      </c>
      <c r="C93" s="100" t="s">
        <v>169</v>
      </c>
      <c r="D93" s="70" t="s">
        <v>280</v>
      </c>
      <c r="E93" s="71" t="s">
        <v>217</v>
      </c>
      <c r="F93" s="70" t="s">
        <v>172</v>
      </c>
      <c r="G93" s="72">
        <v>3000</v>
      </c>
      <c r="H93" s="73">
        <v>150</v>
      </c>
      <c r="I93" s="73">
        <v>150</v>
      </c>
      <c r="J93" s="74">
        <v>3300</v>
      </c>
      <c r="K93" s="75">
        <v>3000</v>
      </c>
    </row>
    <row r="94" spans="1:11" x14ac:dyDescent="0.25">
      <c r="A94" s="9">
        <v>93</v>
      </c>
      <c r="B94" s="59" t="s">
        <v>417</v>
      </c>
      <c r="C94" s="100" t="s">
        <v>169</v>
      </c>
      <c r="D94" s="70" t="s">
        <v>276</v>
      </c>
      <c r="E94" s="71" t="s">
        <v>321</v>
      </c>
      <c r="F94" s="70" t="s">
        <v>172</v>
      </c>
      <c r="G94" s="72">
        <v>2000</v>
      </c>
      <c r="H94" s="73">
        <v>100</v>
      </c>
      <c r="I94" s="73">
        <v>100</v>
      </c>
      <c r="J94" s="74">
        <v>2200</v>
      </c>
      <c r="K94" s="75">
        <v>2500</v>
      </c>
    </row>
    <row r="95" spans="1:11" x14ac:dyDescent="0.25">
      <c r="A95" s="9">
        <v>94</v>
      </c>
      <c r="B95" s="59" t="s">
        <v>418</v>
      </c>
      <c r="C95" s="100" t="s">
        <v>169</v>
      </c>
      <c r="D95" s="70" t="s">
        <v>285</v>
      </c>
      <c r="E95" s="71" t="s">
        <v>328</v>
      </c>
      <c r="F95" s="70" t="s">
        <v>34</v>
      </c>
      <c r="G95" s="72">
        <v>2000</v>
      </c>
      <c r="H95" s="73">
        <v>100</v>
      </c>
      <c r="I95" s="73">
        <v>100</v>
      </c>
      <c r="J95" s="74">
        <v>2200</v>
      </c>
      <c r="K95" s="75">
        <v>2200</v>
      </c>
    </row>
    <row r="96" spans="1:11" x14ac:dyDescent="0.25">
      <c r="A96" s="9">
        <v>95</v>
      </c>
      <c r="B96" s="59" t="s">
        <v>419</v>
      </c>
      <c r="C96" s="100" t="s">
        <v>169</v>
      </c>
      <c r="D96" s="70" t="s">
        <v>285</v>
      </c>
      <c r="E96" s="71" t="s">
        <v>329</v>
      </c>
      <c r="F96" s="70" t="s">
        <v>183</v>
      </c>
      <c r="G96" s="72">
        <v>2300</v>
      </c>
      <c r="H96" s="73">
        <v>115</v>
      </c>
      <c r="I96" s="73">
        <v>115</v>
      </c>
      <c r="J96" s="74">
        <v>2530</v>
      </c>
      <c r="K96" s="75">
        <v>2500</v>
      </c>
    </row>
    <row r="97" spans="1:11" x14ac:dyDescent="0.25">
      <c r="A97" s="9">
        <v>96</v>
      </c>
      <c r="B97" s="59" t="s">
        <v>420</v>
      </c>
      <c r="C97" s="100" t="s">
        <v>169</v>
      </c>
      <c r="D97" s="70" t="s">
        <v>285</v>
      </c>
      <c r="E97" s="71" t="s">
        <v>487</v>
      </c>
      <c r="F97" s="70" t="s">
        <v>183</v>
      </c>
      <c r="G97" s="72">
        <v>2300</v>
      </c>
      <c r="H97" s="73">
        <v>115</v>
      </c>
      <c r="I97" s="73">
        <v>115</v>
      </c>
      <c r="J97" s="74">
        <v>2530</v>
      </c>
      <c r="K97" s="75">
        <v>2500</v>
      </c>
    </row>
    <row r="98" spans="1:11" x14ac:dyDescent="0.25">
      <c r="A98" s="9">
        <v>97</v>
      </c>
      <c r="B98" s="59" t="s">
        <v>421</v>
      </c>
      <c r="C98" s="100" t="s">
        <v>169</v>
      </c>
      <c r="D98" s="70" t="s">
        <v>285</v>
      </c>
      <c r="E98" s="71" t="s">
        <v>330</v>
      </c>
      <c r="F98" s="70" t="s">
        <v>34</v>
      </c>
      <c r="G98" s="72">
        <v>2300</v>
      </c>
      <c r="H98" s="73">
        <v>115</v>
      </c>
      <c r="I98" s="73">
        <v>115</v>
      </c>
      <c r="J98" s="74">
        <v>2530</v>
      </c>
      <c r="K98" s="75">
        <v>2500</v>
      </c>
    </row>
    <row r="99" spans="1:11" x14ac:dyDescent="0.25">
      <c r="A99" s="9">
        <v>98</v>
      </c>
      <c r="B99" s="59" t="s">
        <v>422</v>
      </c>
      <c r="C99" s="100" t="s">
        <v>169</v>
      </c>
      <c r="D99" s="70" t="s">
        <v>292</v>
      </c>
      <c r="E99" s="71" t="s">
        <v>293</v>
      </c>
      <c r="F99" s="70" t="s">
        <v>116</v>
      </c>
      <c r="G99" s="72">
        <v>30000</v>
      </c>
      <c r="H99" s="73">
        <v>1500</v>
      </c>
      <c r="I99" s="73">
        <v>1500</v>
      </c>
      <c r="J99" s="74">
        <v>33000</v>
      </c>
      <c r="K99" s="75">
        <v>30000</v>
      </c>
    </row>
    <row r="100" spans="1:11" x14ac:dyDescent="0.25">
      <c r="A100" s="9">
        <v>99</v>
      </c>
      <c r="B100" s="59" t="s">
        <v>423</v>
      </c>
      <c r="C100" s="100" t="s">
        <v>169</v>
      </c>
      <c r="D100" s="70" t="s">
        <v>292</v>
      </c>
      <c r="E100" s="71" t="s">
        <v>293</v>
      </c>
      <c r="F100" s="70" t="s">
        <v>195</v>
      </c>
      <c r="G100" s="72">
        <v>15000</v>
      </c>
      <c r="H100" s="73">
        <v>750</v>
      </c>
      <c r="I100" s="73">
        <v>750</v>
      </c>
      <c r="J100" s="74">
        <v>16500</v>
      </c>
      <c r="K100" s="75">
        <v>15000</v>
      </c>
    </row>
    <row r="101" spans="1:11" x14ac:dyDescent="0.25">
      <c r="A101" s="9">
        <v>100</v>
      </c>
      <c r="B101" s="59" t="s">
        <v>424</v>
      </c>
      <c r="C101" s="100" t="s">
        <v>169</v>
      </c>
      <c r="D101" s="70" t="s">
        <v>274</v>
      </c>
      <c r="E101" s="71" t="s">
        <v>218</v>
      </c>
      <c r="F101" s="70" t="s">
        <v>172</v>
      </c>
      <c r="G101" s="72">
        <v>1900</v>
      </c>
      <c r="H101" s="73">
        <f>+Oferta[[#This Row],[Costo Pcc]]*0.05</f>
        <v>95</v>
      </c>
      <c r="I101" s="73">
        <f>+Oferta[[#This Row],[Costo Pcc]]*0.05</f>
        <v>95</v>
      </c>
      <c r="J101" s="74">
        <f>+Oferta[[#This Row],[Costo Pcc]]+Oferta[[#This Row],[% Logística]]+Oferta[[#This Row],[%Transporte]]</f>
        <v>2090</v>
      </c>
      <c r="K101" s="75">
        <v>2000</v>
      </c>
    </row>
    <row r="102" spans="1:11" x14ac:dyDescent="0.25">
      <c r="A102" s="9">
        <v>101</v>
      </c>
      <c r="B102" s="59" t="s">
        <v>425</v>
      </c>
      <c r="C102" s="100" t="s">
        <v>169</v>
      </c>
      <c r="D102" s="70" t="s">
        <v>274</v>
      </c>
      <c r="E102" s="71" t="s">
        <v>173</v>
      </c>
      <c r="F102" s="70" t="s">
        <v>34</v>
      </c>
      <c r="G102" s="72">
        <v>1600</v>
      </c>
      <c r="H102" s="73">
        <v>80</v>
      </c>
      <c r="I102" s="73">
        <v>80</v>
      </c>
      <c r="J102" s="74">
        <v>1760</v>
      </c>
      <c r="K102" s="75">
        <v>2000</v>
      </c>
    </row>
    <row r="103" spans="1:11" x14ac:dyDescent="0.25">
      <c r="A103" s="9">
        <v>102</v>
      </c>
      <c r="B103" s="59" t="s">
        <v>426</v>
      </c>
      <c r="C103" s="100" t="s">
        <v>169</v>
      </c>
      <c r="D103" s="70" t="s">
        <v>274</v>
      </c>
      <c r="E103" s="71" t="s">
        <v>173</v>
      </c>
      <c r="F103" s="70" t="s">
        <v>174</v>
      </c>
      <c r="G103" s="72">
        <v>1000</v>
      </c>
      <c r="H103" s="73">
        <f>+Oferta[[#This Row],[Costo Pcc]]*0.05</f>
        <v>50</v>
      </c>
      <c r="I103" s="73">
        <f>+Oferta[[#This Row],[Costo Pcc]]*0.05</f>
        <v>50</v>
      </c>
      <c r="J103" s="74">
        <f>+Oferta[[#This Row],[Costo Pcc]]+Oferta[[#This Row],[% Logística]]+Oferta[[#This Row],[%Transporte]]</f>
        <v>1100</v>
      </c>
      <c r="K103" s="75">
        <v>1000</v>
      </c>
    </row>
    <row r="104" spans="1:11" x14ac:dyDescent="0.25">
      <c r="A104" s="9">
        <v>103</v>
      </c>
      <c r="B104" s="59" t="s">
        <v>427</v>
      </c>
      <c r="C104" s="100" t="s">
        <v>169</v>
      </c>
      <c r="D104" s="70" t="s">
        <v>291</v>
      </c>
      <c r="E104" s="71" t="s">
        <v>178</v>
      </c>
      <c r="F104" s="70" t="s">
        <v>179</v>
      </c>
      <c r="G104" s="72">
        <v>3000</v>
      </c>
      <c r="H104" s="73">
        <v>150</v>
      </c>
      <c r="I104" s="73">
        <v>150</v>
      </c>
      <c r="J104" s="74">
        <v>3300</v>
      </c>
      <c r="K104" s="75">
        <v>3300</v>
      </c>
    </row>
    <row r="105" spans="1:11" x14ac:dyDescent="0.25">
      <c r="A105" s="9">
        <v>104</v>
      </c>
      <c r="B105" s="59" t="s">
        <v>428</v>
      </c>
      <c r="C105" s="100" t="s">
        <v>169</v>
      </c>
      <c r="D105" s="70" t="s">
        <v>281</v>
      </c>
      <c r="E105" s="71" t="s">
        <v>190</v>
      </c>
      <c r="F105" s="70" t="s">
        <v>191</v>
      </c>
      <c r="G105" s="72">
        <v>5000</v>
      </c>
      <c r="H105" s="73">
        <v>250</v>
      </c>
      <c r="I105" s="73">
        <v>250</v>
      </c>
      <c r="J105" s="74">
        <v>5500</v>
      </c>
      <c r="K105" s="75">
        <v>5500</v>
      </c>
    </row>
    <row r="106" spans="1:11" x14ac:dyDescent="0.25">
      <c r="A106" s="9">
        <v>105</v>
      </c>
      <c r="B106" s="59" t="s">
        <v>429</v>
      </c>
      <c r="C106" s="100" t="s">
        <v>169</v>
      </c>
      <c r="D106" s="70" t="s">
        <v>281</v>
      </c>
      <c r="E106" s="71" t="s">
        <v>197</v>
      </c>
      <c r="F106" s="70" t="s">
        <v>116</v>
      </c>
      <c r="G106" s="72">
        <v>3000</v>
      </c>
      <c r="H106" s="73">
        <v>150</v>
      </c>
      <c r="I106" s="73">
        <v>150</v>
      </c>
      <c r="J106" s="74">
        <v>3300</v>
      </c>
      <c r="K106" s="75">
        <v>3300</v>
      </c>
    </row>
    <row r="107" spans="1:11" x14ac:dyDescent="0.25">
      <c r="A107" s="9">
        <v>106</v>
      </c>
      <c r="B107" s="59" t="s">
        <v>430</v>
      </c>
      <c r="C107" s="100" t="s">
        <v>169</v>
      </c>
      <c r="D107" s="70" t="s">
        <v>281</v>
      </c>
      <c r="E107" s="71" t="s">
        <v>186</v>
      </c>
      <c r="F107" s="70" t="s">
        <v>187</v>
      </c>
      <c r="G107" s="72">
        <v>2600</v>
      </c>
      <c r="H107" s="73">
        <f>+Oferta[[#This Row],[Costo Pcc]]*0.05</f>
        <v>130</v>
      </c>
      <c r="I107" s="73">
        <f>+Oferta[[#This Row],[Costo Pcc]]*0.05</f>
        <v>130</v>
      </c>
      <c r="J107" s="74">
        <f>+Oferta[[#This Row],[Costo Pcc]]+Oferta[[#This Row],[% Logística]]+Oferta[[#This Row],[%Transporte]]</f>
        <v>2860</v>
      </c>
      <c r="K107" s="75">
        <v>3000</v>
      </c>
    </row>
    <row r="108" spans="1:11" x14ac:dyDescent="0.25">
      <c r="A108" s="9">
        <v>107</v>
      </c>
      <c r="B108" s="59" t="s">
        <v>431</v>
      </c>
      <c r="C108" s="100" t="s">
        <v>169</v>
      </c>
      <c r="D108" s="70" t="s">
        <v>282</v>
      </c>
      <c r="E108" s="71" t="s">
        <v>322</v>
      </c>
      <c r="F108" s="70" t="s">
        <v>176</v>
      </c>
      <c r="G108" s="72">
        <v>27000</v>
      </c>
      <c r="H108" s="73">
        <v>1350</v>
      </c>
      <c r="I108" s="73">
        <v>1350</v>
      </c>
      <c r="J108" s="74">
        <v>29700</v>
      </c>
      <c r="K108" s="75">
        <v>28000</v>
      </c>
    </row>
    <row r="109" spans="1:11" x14ac:dyDescent="0.25">
      <c r="A109" s="9">
        <v>108</v>
      </c>
      <c r="B109" s="59" t="s">
        <v>432</v>
      </c>
      <c r="C109" s="100" t="s">
        <v>169</v>
      </c>
      <c r="D109" s="70" t="s">
        <v>282</v>
      </c>
      <c r="E109" s="71" t="s">
        <v>323</v>
      </c>
      <c r="F109" s="70" t="s">
        <v>176</v>
      </c>
      <c r="G109" s="72">
        <v>18000</v>
      </c>
      <c r="H109" s="73">
        <v>900</v>
      </c>
      <c r="I109" s="73">
        <v>900</v>
      </c>
      <c r="J109" s="74">
        <v>19800</v>
      </c>
      <c r="K109" s="75">
        <v>20000</v>
      </c>
    </row>
    <row r="110" spans="1:11" x14ac:dyDescent="0.25">
      <c r="A110" s="9">
        <v>109</v>
      </c>
      <c r="B110" s="59" t="s">
        <v>433</v>
      </c>
      <c r="C110" s="100" t="s">
        <v>169</v>
      </c>
      <c r="D110" s="70" t="s">
        <v>274</v>
      </c>
      <c r="E110" s="71" t="s">
        <v>171</v>
      </c>
      <c r="F110" s="70" t="s">
        <v>172</v>
      </c>
      <c r="G110" s="72">
        <v>2800</v>
      </c>
      <c r="H110" s="73">
        <f>+Oferta[[#This Row],[Costo Pcc]]*0.05</f>
        <v>140</v>
      </c>
      <c r="I110" s="73">
        <f>+Oferta[[#This Row],[Costo Pcc]]*0.05</f>
        <v>140</v>
      </c>
      <c r="J110" s="74">
        <f>+Oferta[[#This Row],[Costo Pcc]]+Oferta[[#This Row],[% Logística]]+Oferta[[#This Row],[%Transporte]]</f>
        <v>3080</v>
      </c>
      <c r="K110" s="75">
        <v>3000</v>
      </c>
    </row>
    <row r="111" spans="1:11" x14ac:dyDescent="0.25">
      <c r="A111" s="9">
        <v>110</v>
      </c>
      <c r="B111" s="59" t="s">
        <v>434</v>
      </c>
      <c r="C111" s="100" t="s">
        <v>169</v>
      </c>
      <c r="D111" s="70" t="s">
        <v>280</v>
      </c>
      <c r="E111" s="71" t="s">
        <v>324</v>
      </c>
      <c r="F111" s="70" t="s">
        <v>216</v>
      </c>
      <c r="G111" s="72">
        <v>2900</v>
      </c>
      <c r="H111" s="73">
        <v>145</v>
      </c>
      <c r="I111" s="73">
        <v>145</v>
      </c>
      <c r="J111" s="74">
        <v>3190</v>
      </c>
      <c r="K111" s="75">
        <v>3500</v>
      </c>
    </row>
    <row r="112" spans="1:11" x14ac:dyDescent="0.25">
      <c r="A112" s="9">
        <v>111</v>
      </c>
      <c r="B112" s="59" t="s">
        <v>435</v>
      </c>
      <c r="C112" s="100" t="s">
        <v>169</v>
      </c>
      <c r="D112" s="70" t="s">
        <v>280</v>
      </c>
      <c r="E112" s="71" t="s">
        <v>196</v>
      </c>
      <c r="F112" s="70" t="s">
        <v>59</v>
      </c>
      <c r="G112" s="72">
        <v>3000</v>
      </c>
      <c r="H112" s="73">
        <v>150</v>
      </c>
      <c r="I112" s="73">
        <v>150</v>
      </c>
      <c r="J112" s="74">
        <v>3300</v>
      </c>
      <c r="K112" s="75">
        <v>3500</v>
      </c>
    </row>
    <row r="113" spans="1:11" x14ac:dyDescent="0.25">
      <c r="A113" s="9">
        <v>112</v>
      </c>
      <c r="B113" s="59" t="s">
        <v>436</v>
      </c>
      <c r="C113" s="100" t="s">
        <v>169</v>
      </c>
      <c r="D113" s="70" t="s">
        <v>280</v>
      </c>
      <c r="E113" s="71" t="s">
        <v>196</v>
      </c>
      <c r="F113" s="70" t="s">
        <v>60</v>
      </c>
      <c r="G113" s="72">
        <v>1500</v>
      </c>
      <c r="H113" s="73">
        <v>75</v>
      </c>
      <c r="I113" s="73">
        <v>75</v>
      </c>
      <c r="J113" s="74">
        <v>1650</v>
      </c>
      <c r="K113" s="75">
        <v>2000</v>
      </c>
    </row>
    <row r="114" spans="1:11" x14ac:dyDescent="0.25">
      <c r="A114" s="9">
        <v>113</v>
      </c>
      <c r="B114" s="59" t="s">
        <v>437</v>
      </c>
      <c r="C114" s="100" t="s">
        <v>169</v>
      </c>
      <c r="D114" s="70" t="s">
        <v>280</v>
      </c>
      <c r="E114" s="71" t="s">
        <v>170</v>
      </c>
      <c r="F114" s="70" t="s">
        <v>216</v>
      </c>
      <c r="G114" s="72">
        <v>3600</v>
      </c>
      <c r="H114" s="73">
        <f>+Oferta[[#This Row],[Costo Pcc]]*0.05</f>
        <v>180</v>
      </c>
      <c r="I114" s="73">
        <f>+Oferta[[#This Row],[Costo Pcc]]*0.05</f>
        <v>180</v>
      </c>
      <c r="J114" s="74">
        <f>+Oferta[[#This Row],[Costo Pcc]]+Oferta[[#This Row],[% Logística]]+Oferta[[#This Row],[%Transporte]]</f>
        <v>3960</v>
      </c>
      <c r="K114" s="75">
        <v>4000</v>
      </c>
    </row>
    <row r="115" spans="1:11" x14ac:dyDescent="0.25">
      <c r="A115" s="9">
        <v>114</v>
      </c>
      <c r="B115" s="59" t="s">
        <v>438</v>
      </c>
      <c r="C115" s="100" t="s">
        <v>169</v>
      </c>
      <c r="D115" s="70" t="s">
        <v>280</v>
      </c>
      <c r="E115" s="71" t="s">
        <v>170</v>
      </c>
      <c r="F115" s="70" t="s">
        <v>60</v>
      </c>
      <c r="G115" s="72">
        <v>1950</v>
      </c>
      <c r="H115" s="73">
        <f>+Oferta[[#This Row],[Costo Pcc]]*0.05</f>
        <v>97.5</v>
      </c>
      <c r="I115" s="73">
        <f>+Oferta[[#This Row],[Costo Pcc]]*0.05</f>
        <v>97.5</v>
      </c>
      <c r="J115" s="74">
        <f>+Oferta[[#This Row],[Costo Pcc]]+Oferta[[#This Row],[% Logística]]+Oferta[[#This Row],[%Transporte]]</f>
        <v>2145</v>
      </c>
      <c r="K115" s="75">
        <v>2000</v>
      </c>
    </row>
    <row r="116" spans="1:11" x14ac:dyDescent="0.25">
      <c r="A116" s="9">
        <v>115</v>
      </c>
      <c r="B116" s="59" t="s">
        <v>439</v>
      </c>
      <c r="C116" s="100" t="s">
        <v>169</v>
      </c>
      <c r="D116" s="70" t="s">
        <v>274</v>
      </c>
      <c r="E116" s="71" t="s">
        <v>180</v>
      </c>
      <c r="F116" s="70" t="s">
        <v>181</v>
      </c>
      <c r="G116" s="72">
        <v>2800</v>
      </c>
      <c r="H116" s="73">
        <f>+Oferta[[#This Row],[Costo Pcc]]*0.05</f>
        <v>140</v>
      </c>
      <c r="I116" s="73">
        <f>+Oferta[[#This Row],[Costo Pcc]]*0.05</f>
        <v>140</v>
      </c>
      <c r="J116" s="74">
        <f>+Oferta[[#This Row],[Costo Pcc]]+Oferta[[#This Row],[% Logística]]+Oferta[[#This Row],[%Transporte]]</f>
        <v>3080</v>
      </c>
      <c r="K116" s="75">
        <v>3000</v>
      </c>
    </row>
    <row r="117" spans="1:11" x14ac:dyDescent="0.25">
      <c r="A117" s="9">
        <v>116</v>
      </c>
      <c r="B117" s="59" t="s">
        <v>440</v>
      </c>
      <c r="C117" s="100" t="s">
        <v>169</v>
      </c>
      <c r="D117" s="70" t="s">
        <v>291</v>
      </c>
      <c r="E117" s="71" t="s">
        <v>192</v>
      </c>
      <c r="F117" s="70" t="s">
        <v>332</v>
      </c>
      <c r="G117" s="72">
        <v>2500</v>
      </c>
      <c r="H117" s="73">
        <v>125</v>
      </c>
      <c r="I117" s="73">
        <v>125</v>
      </c>
      <c r="J117" s="74">
        <v>2750</v>
      </c>
      <c r="K117" s="75" t="s">
        <v>491</v>
      </c>
    </row>
    <row r="118" spans="1:11" x14ac:dyDescent="0.25">
      <c r="A118" s="9">
        <v>117</v>
      </c>
      <c r="B118" s="59" t="s">
        <v>441</v>
      </c>
      <c r="C118" s="100" t="s">
        <v>169</v>
      </c>
      <c r="D118" s="70" t="s">
        <v>280</v>
      </c>
      <c r="E118" s="71" t="s">
        <v>325</v>
      </c>
      <c r="F118" s="70" t="s">
        <v>189</v>
      </c>
      <c r="G118" s="72">
        <v>3500</v>
      </c>
      <c r="H118" s="73">
        <v>175</v>
      </c>
      <c r="I118" s="73">
        <v>175</v>
      </c>
      <c r="J118" s="74">
        <v>3850</v>
      </c>
      <c r="K118" s="75">
        <v>4000</v>
      </c>
    </row>
    <row r="119" spans="1:11" x14ac:dyDescent="0.25">
      <c r="A119" s="9">
        <v>118</v>
      </c>
      <c r="B119" s="59" t="s">
        <v>442</v>
      </c>
      <c r="C119" s="100" t="s">
        <v>169</v>
      </c>
      <c r="D119" s="70" t="s">
        <v>284</v>
      </c>
      <c r="E119" s="71" t="s">
        <v>272</v>
      </c>
      <c r="F119" s="70" t="s">
        <v>271</v>
      </c>
      <c r="G119" s="72">
        <v>6000</v>
      </c>
      <c r="H119" s="73">
        <v>300</v>
      </c>
      <c r="I119" s="73">
        <v>300</v>
      </c>
      <c r="J119" s="74">
        <v>6600</v>
      </c>
      <c r="K119" s="75">
        <v>6000</v>
      </c>
    </row>
    <row r="120" spans="1:11" x14ac:dyDescent="0.25">
      <c r="A120" s="9">
        <v>119</v>
      </c>
      <c r="B120" s="59" t="s">
        <v>443</v>
      </c>
      <c r="C120" s="100" t="s">
        <v>169</v>
      </c>
      <c r="D120" s="70" t="s">
        <v>284</v>
      </c>
      <c r="E120" s="71" t="s">
        <v>453</v>
      </c>
      <c r="F120" s="70" t="s">
        <v>271</v>
      </c>
      <c r="G120" s="72">
        <v>6000</v>
      </c>
      <c r="H120" s="73">
        <v>300</v>
      </c>
      <c r="I120" s="73">
        <v>300</v>
      </c>
      <c r="J120" s="74">
        <v>6600</v>
      </c>
      <c r="K120" s="75">
        <v>6000</v>
      </c>
    </row>
    <row r="121" spans="1:11" x14ac:dyDescent="0.25">
      <c r="A121" s="9">
        <v>120</v>
      </c>
      <c r="B121" s="59" t="s">
        <v>444</v>
      </c>
      <c r="C121" s="100" t="s">
        <v>169</v>
      </c>
      <c r="D121" s="70" t="s">
        <v>280</v>
      </c>
      <c r="E121" s="71" t="s">
        <v>324</v>
      </c>
      <c r="F121" s="70" t="s">
        <v>277</v>
      </c>
      <c r="G121" s="72">
        <v>1450</v>
      </c>
      <c r="H121" s="73">
        <f>G121*5%</f>
        <v>72.5</v>
      </c>
      <c r="I121" s="73">
        <f>G121*5%</f>
        <v>72.5</v>
      </c>
      <c r="J121" s="74">
        <f>G121+H121+I121</f>
        <v>1595</v>
      </c>
      <c r="K121" s="75">
        <v>1600</v>
      </c>
    </row>
    <row r="122" spans="1:11" x14ac:dyDescent="0.25">
      <c r="A122" s="9">
        <v>121</v>
      </c>
      <c r="B122" s="59" t="s">
        <v>445</v>
      </c>
      <c r="C122" s="100" t="s">
        <v>169</v>
      </c>
      <c r="D122" s="70" t="s">
        <v>288</v>
      </c>
      <c r="E122" s="71" t="s">
        <v>278</v>
      </c>
      <c r="F122" s="70" t="s">
        <v>172</v>
      </c>
      <c r="G122" s="72">
        <v>8000</v>
      </c>
      <c r="H122" s="73">
        <f>G122*5%</f>
        <v>400</v>
      </c>
      <c r="I122" s="73">
        <f>G122*5%</f>
        <v>400</v>
      </c>
      <c r="J122" s="74">
        <f>G122+H122+I122</f>
        <v>8800</v>
      </c>
      <c r="K122" s="75">
        <v>9000</v>
      </c>
    </row>
    <row r="123" spans="1:11" x14ac:dyDescent="0.25">
      <c r="A123" s="9">
        <v>122</v>
      </c>
      <c r="B123" s="61" t="s">
        <v>446</v>
      </c>
      <c r="C123" s="102" t="s">
        <v>169</v>
      </c>
      <c r="D123" s="70" t="s">
        <v>299</v>
      </c>
      <c r="E123" s="82" t="s">
        <v>298</v>
      </c>
      <c r="F123" s="83" t="s">
        <v>32</v>
      </c>
      <c r="G123" s="84">
        <v>6000</v>
      </c>
      <c r="H123" s="85">
        <v>500</v>
      </c>
      <c r="I123" s="85">
        <v>500</v>
      </c>
      <c r="J123" s="86">
        <v>7000</v>
      </c>
      <c r="K123" s="87">
        <v>7000</v>
      </c>
    </row>
    <row r="124" spans="1:11" x14ac:dyDescent="0.25">
      <c r="A124" s="9">
        <v>123</v>
      </c>
      <c r="B124" s="62" t="s">
        <v>447</v>
      </c>
      <c r="C124" s="62" t="s">
        <v>169</v>
      </c>
      <c r="D124" s="83" t="s">
        <v>299</v>
      </c>
      <c r="E124" s="88" t="s">
        <v>301</v>
      </c>
      <c r="F124" s="89" t="s">
        <v>331</v>
      </c>
      <c r="G124" s="90">
        <v>50000</v>
      </c>
      <c r="H124" s="91">
        <v>2500</v>
      </c>
      <c r="I124" s="91">
        <v>2500</v>
      </c>
      <c r="J124" s="92">
        <v>55000</v>
      </c>
      <c r="K124" s="92">
        <v>50000</v>
      </c>
    </row>
    <row r="125" spans="1:11" ht="30" x14ac:dyDescent="0.25">
      <c r="A125" s="9">
        <v>124</v>
      </c>
      <c r="B125" s="63" t="s">
        <v>477</v>
      </c>
      <c r="C125" s="63" t="s">
        <v>169</v>
      </c>
      <c r="D125" s="93"/>
      <c r="E125" s="94" t="s">
        <v>486</v>
      </c>
      <c r="F125" s="93" t="s">
        <v>478</v>
      </c>
      <c r="G125" s="95">
        <v>4500</v>
      </c>
      <c r="H125" s="96">
        <f>+Oferta[[#This Row],[Costo Pcc]]*0.05</f>
        <v>225</v>
      </c>
      <c r="I125" s="96">
        <f>+Oferta[[#This Row],[Costo Pcc]]*0.05</f>
        <v>225</v>
      </c>
      <c r="J125" s="97">
        <f>+Oferta[[#This Row],[Costo Pcc]]+Oferta[[#This Row],[% Logística]]+Oferta[[#This Row],[%Transporte]]</f>
        <v>4950</v>
      </c>
      <c r="K125" s="97">
        <v>5000</v>
      </c>
    </row>
    <row r="126" spans="1:11" x14ac:dyDescent="0.25">
      <c r="A126" s="9">
        <v>125</v>
      </c>
      <c r="B126" s="63" t="s">
        <v>480</v>
      </c>
      <c r="C126" s="63" t="s">
        <v>169</v>
      </c>
      <c r="D126" s="93"/>
      <c r="E126" s="94" t="s">
        <v>483</v>
      </c>
      <c r="F126" s="93" t="s">
        <v>479</v>
      </c>
      <c r="G126" s="95">
        <v>3500</v>
      </c>
      <c r="H126" s="96">
        <f>+Oferta[[#This Row],[Costo Pcc]]*0.05</f>
        <v>175</v>
      </c>
      <c r="I126" s="96">
        <f>+Oferta[[#This Row],[Costo Pcc]]*0.05</f>
        <v>175</v>
      </c>
      <c r="J126" s="97">
        <f>+Oferta[[#This Row],[Costo Pcc]]+Oferta[[#This Row],[% Logística]]+Oferta[[#This Row],[%Transporte]]</f>
        <v>3850</v>
      </c>
      <c r="K126" s="97">
        <v>4000</v>
      </c>
    </row>
    <row r="127" spans="1:11" x14ac:dyDescent="0.25">
      <c r="A127" s="9">
        <v>126</v>
      </c>
      <c r="B127" s="63" t="s">
        <v>481</v>
      </c>
      <c r="C127" s="63" t="s">
        <v>169</v>
      </c>
      <c r="D127" s="93"/>
      <c r="E127" s="94" t="s">
        <v>484</v>
      </c>
      <c r="F127" s="93" t="s">
        <v>479</v>
      </c>
      <c r="G127" s="95">
        <v>3500</v>
      </c>
      <c r="H127" s="96">
        <f>+Oferta[[#This Row],[Costo Pcc]]*0.05</f>
        <v>175</v>
      </c>
      <c r="I127" s="96">
        <f>+Oferta[[#This Row],[Costo Pcc]]*0.05</f>
        <v>175</v>
      </c>
      <c r="J127" s="97">
        <f>+Oferta[[#This Row],[Costo Pcc]]+Oferta[[#This Row],[% Logística]]+Oferta[[#This Row],[%Transporte]]</f>
        <v>3850</v>
      </c>
      <c r="K127" s="97">
        <v>4000</v>
      </c>
    </row>
    <row r="128" spans="1:11" x14ac:dyDescent="0.25">
      <c r="A128" s="9">
        <v>127</v>
      </c>
      <c r="B128" s="63" t="s">
        <v>482</v>
      </c>
      <c r="C128" s="63" t="s">
        <v>169</v>
      </c>
      <c r="D128" s="93"/>
      <c r="E128" s="94" t="s">
        <v>485</v>
      </c>
      <c r="F128" s="93" t="s">
        <v>478</v>
      </c>
      <c r="G128" s="95">
        <v>8000</v>
      </c>
      <c r="H128" s="96">
        <f>+Oferta[[#This Row],[Costo Pcc]]*0.05</f>
        <v>400</v>
      </c>
      <c r="I128" s="96">
        <f>+Oferta[[#This Row],[Costo Pcc]]*0.05</f>
        <v>400</v>
      </c>
      <c r="J128" s="97">
        <f>+Oferta[[#This Row],[Costo Pcc]]+Oferta[[#This Row],[% Logística]]+Oferta[[#This Row],[%Transporte]]</f>
        <v>8800</v>
      </c>
      <c r="K128" s="97">
        <v>8800</v>
      </c>
    </row>
    <row r="129" spans="5:5" x14ac:dyDescent="0.25">
      <c r="E129" s="98"/>
    </row>
    <row r="130" spans="5:5" x14ac:dyDescent="0.25">
      <c r="E130" s="98"/>
    </row>
    <row r="131" spans="5:5" x14ac:dyDescent="0.25">
      <c r="E131" s="98"/>
    </row>
    <row r="132" spans="5:5" x14ac:dyDescent="0.25">
      <c r="E132" s="98"/>
    </row>
    <row r="133" spans="5:5" x14ac:dyDescent="0.25">
      <c r="E133" s="98"/>
    </row>
    <row r="134" spans="5:5" x14ac:dyDescent="0.25">
      <c r="E134" s="98"/>
    </row>
    <row r="135" spans="5:5" x14ac:dyDescent="0.25">
      <c r="E135" s="98"/>
    </row>
    <row r="136" spans="5:5" x14ac:dyDescent="0.25">
      <c r="E136" s="98"/>
    </row>
  </sheetData>
  <sortState xmlns:xlrd2="http://schemas.microsoft.com/office/spreadsheetml/2017/richdata2" ref="B2:K115">
    <sortCondition ref="E1"/>
  </sortState>
  <phoneticPr fontId="12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ANCUYA</vt:lpstr>
      <vt:lpstr>CONSACA</vt:lpstr>
      <vt:lpstr>GUALMATAN</vt:lpstr>
      <vt:lpstr>LA FLORIDA</vt:lpstr>
      <vt:lpstr>SANDONA</vt:lpstr>
      <vt:lpstr>YACUANQUER</vt:lpstr>
      <vt:lpstr>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PASANTE UNO</cp:lastModifiedBy>
  <cp:lastPrinted>2026-02-06T20:33:06Z</cp:lastPrinted>
  <dcterms:created xsi:type="dcterms:W3CDTF">2025-09-15T16:08:07Z</dcterms:created>
  <dcterms:modified xsi:type="dcterms:W3CDTF">2026-03-17T13:34:55Z</dcterms:modified>
</cp:coreProperties>
</file>