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jandro\Downloads\"/>
    </mc:Choice>
  </mc:AlternateContent>
  <xr:revisionPtr revIDLastSave="0" documentId="13_ncr:1_{D6123F1C-5C38-416A-963A-21392A046301}" xr6:coauthVersionLast="47" xr6:coauthVersionMax="47" xr10:uidLastSave="{00000000-0000-0000-0000-000000000000}"/>
  <bookViews>
    <workbookView xWindow="-108" yWindow="-108" windowWidth="23256" windowHeight="12456" xr2:uid="{8192A102-4A18-44DA-AE42-1DF45AD3CA1A}"/>
  </bookViews>
  <sheets>
    <sheet name="Ofer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I95" i="1"/>
  <c r="H95" i="1"/>
  <c r="J95" i="1" s="1"/>
  <c r="I70" i="1"/>
  <c r="H70" i="1"/>
  <c r="I32" i="1"/>
  <c r="H32" i="1"/>
  <c r="J32" i="1" s="1"/>
  <c r="I19" i="1"/>
  <c r="H19" i="1"/>
  <c r="J19" i="1" s="1"/>
  <c r="J70" i="1" l="1"/>
</calcChain>
</file>

<file path=xl/sharedStrings.xml><?xml version="1.0" encoding="utf-8"?>
<sst xmlns="http://schemas.openxmlformats.org/spreadsheetml/2006/main" count="590" uniqueCount="290">
  <si>
    <t>Ítems</t>
  </si>
  <si>
    <t>Código</t>
  </si>
  <si>
    <t>Categoría</t>
  </si>
  <si>
    <t>Producto</t>
  </si>
  <si>
    <t>Presentación</t>
  </si>
  <si>
    <t>Costo Pcc</t>
  </si>
  <si>
    <t>% Logística</t>
  </si>
  <si>
    <t>%Transporte</t>
  </si>
  <si>
    <t>Precio Sugerido</t>
  </si>
  <si>
    <t>Precio de Venta</t>
  </si>
  <si>
    <t>YT028A</t>
  </si>
  <si>
    <t>Yacuanquer</t>
  </si>
  <si>
    <t>Autocuidado</t>
  </si>
  <si>
    <t>Aceite de romero</t>
  </si>
  <si>
    <t>1 onz</t>
  </si>
  <si>
    <t>YT029A</t>
  </si>
  <si>
    <t>Aceite naranja</t>
  </si>
  <si>
    <t>GF001A</t>
  </si>
  <si>
    <t>Gualmatán</t>
  </si>
  <si>
    <t>Verduras</t>
  </si>
  <si>
    <t>Acelga</t>
  </si>
  <si>
    <t>500gr</t>
  </si>
  <si>
    <t>YF001A</t>
  </si>
  <si>
    <t xml:space="preserve">Acelga </t>
  </si>
  <si>
    <t xml:space="preserve">Atado </t>
  </si>
  <si>
    <t>CF001A</t>
  </si>
  <si>
    <t>Consacá</t>
  </si>
  <si>
    <t>Sazonadores</t>
  </si>
  <si>
    <t xml:space="preserve">Achiote molido </t>
  </si>
  <si>
    <t>20 gr</t>
  </si>
  <si>
    <t>YF002A</t>
  </si>
  <si>
    <t>Frutas</t>
  </si>
  <si>
    <t xml:space="preserve">Aguacate </t>
  </si>
  <si>
    <t xml:space="preserve">Unidad </t>
  </si>
  <si>
    <t>FT001A</t>
  </si>
  <si>
    <t>La Florida</t>
  </si>
  <si>
    <t>Ají en polvo</t>
  </si>
  <si>
    <t>25gr</t>
  </si>
  <si>
    <t>GF002A</t>
  </si>
  <si>
    <t>Apio</t>
  </si>
  <si>
    <t>700gr</t>
  </si>
  <si>
    <t>YT003A</t>
  </si>
  <si>
    <t>Snacks</t>
  </si>
  <si>
    <t xml:space="preserve">Arepa de Callana </t>
  </si>
  <si>
    <t>FT002A</t>
  </si>
  <si>
    <t>Postres</t>
  </si>
  <si>
    <t>Arequipe</t>
  </si>
  <si>
    <t>125gr</t>
  </si>
  <si>
    <t>YF004A</t>
  </si>
  <si>
    <t>Aromáticas</t>
  </si>
  <si>
    <t>Aromática hierbabuena</t>
  </si>
  <si>
    <t>atado</t>
  </si>
  <si>
    <t>YF005A</t>
  </si>
  <si>
    <t>Aromática romero</t>
  </si>
  <si>
    <t>YF006A</t>
  </si>
  <si>
    <t>Aromática tomillo</t>
  </si>
  <si>
    <t>YF007A</t>
  </si>
  <si>
    <t>Aromática anís</t>
  </si>
  <si>
    <t>FF003G</t>
  </si>
  <si>
    <t>Banano</t>
  </si>
  <si>
    <t>Mano</t>
  </si>
  <si>
    <t>FF004P</t>
  </si>
  <si>
    <t>Media mano</t>
  </si>
  <si>
    <t>GF003GP</t>
  </si>
  <si>
    <t>Brócoli</t>
  </si>
  <si>
    <t>1000gr</t>
  </si>
  <si>
    <t>FT043A</t>
  </si>
  <si>
    <t xml:space="preserve">Café </t>
  </si>
  <si>
    <t>Café Bourbon rojo y amarillo</t>
  </si>
  <si>
    <t>libra</t>
  </si>
  <si>
    <t>YT008A</t>
  </si>
  <si>
    <t xml:space="preserve">Café Primitivo   </t>
  </si>
  <si>
    <t>Libra</t>
  </si>
  <si>
    <t>YT009A</t>
  </si>
  <si>
    <t>Media libra</t>
  </si>
  <si>
    <t>GF004A</t>
  </si>
  <si>
    <t>Caléndula</t>
  </si>
  <si>
    <t>50gr</t>
  </si>
  <si>
    <t>FF005A</t>
  </si>
  <si>
    <t>Legumbres</t>
  </si>
  <si>
    <t>Chachafruto</t>
  </si>
  <si>
    <t>Kilo</t>
  </si>
  <si>
    <t>FT006A</t>
  </si>
  <si>
    <t>Productos de Temporada</t>
  </si>
  <si>
    <t>Champús con mote y piña</t>
  </si>
  <si>
    <t>litro</t>
  </si>
  <si>
    <t>FT007A</t>
  </si>
  <si>
    <t>500 ml</t>
  </si>
  <si>
    <t>AT001A</t>
  </si>
  <si>
    <t>Ancuya</t>
  </si>
  <si>
    <t>Chips arracacha</t>
  </si>
  <si>
    <t>70gr</t>
  </si>
  <si>
    <t>AT002A</t>
  </si>
  <si>
    <t>Chips de batata</t>
  </si>
  <si>
    <t>AT003A</t>
  </si>
  <si>
    <t>Chips plátano</t>
  </si>
  <si>
    <t>AT004A</t>
  </si>
  <si>
    <t>Chips yuca</t>
  </si>
  <si>
    <t>YF010GP</t>
  </si>
  <si>
    <t>Choclo</t>
  </si>
  <si>
    <t>FF008A</t>
  </si>
  <si>
    <t>Cidra</t>
  </si>
  <si>
    <t>YT032A</t>
  </si>
  <si>
    <t>Cidrón</t>
  </si>
  <si>
    <t>Atado</t>
  </si>
  <si>
    <t>GF005GP</t>
  </si>
  <si>
    <t>Cilantro</t>
  </si>
  <si>
    <t>100gr</t>
  </si>
  <si>
    <t>YF011GP</t>
  </si>
  <si>
    <t xml:space="preserve">Cilantro </t>
  </si>
  <si>
    <t>YF012A</t>
  </si>
  <si>
    <t xml:space="preserve">Medio atado </t>
  </si>
  <si>
    <t>AF005A</t>
  </si>
  <si>
    <t>Citronela</t>
  </si>
  <si>
    <t>AF006A</t>
  </si>
  <si>
    <t>Medio atado</t>
  </si>
  <si>
    <t>GF006GP</t>
  </si>
  <si>
    <t>Coliflor</t>
  </si>
  <si>
    <t>FT009A</t>
  </si>
  <si>
    <t>Lácteos</t>
  </si>
  <si>
    <t>Cuajada</t>
  </si>
  <si>
    <t>Unidad</t>
  </si>
  <si>
    <t>FT010A</t>
  </si>
  <si>
    <t>Cúrcuma</t>
  </si>
  <si>
    <t>20gr</t>
  </si>
  <si>
    <t>FT011A</t>
  </si>
  <si>
    <t>Dulce de breva</t>
  </si>
  <si>
    <t>500 Ml</t>
  </si>
  <si>
    <t>FT012A</t>
  </si>
  <si>
    <t>250 Ml</t>
  </si>
  <si>
    <t>FT013A</t>
  </si>
  <si>
    <t>Dulce de chilacuan</t>
  </si>
  <si>
    <t>FT014A</t>
  </si>
  <si>
    <t>Dulce de hilacuan</t>
  </si>
  <si>
    <t>FT015A</t>
  </si>
  <si>
    <t>Dulce de guayaba</t>
  </si>
  <si>
    <t>Medio litro</t>
  </si>
  <si>
    <t>FT016A</t>
  </si>
  <si>
    <t>Dulce de leche</t>
  </si>
  <si>
    <t>FT017A</t>
  </si>
  <si>
    <t>FT018A</t>
  </si>
  <si>
    <t>Dulce de mora</t>
  </si>
  <si>
    <t>Medio Litro</t>
  </si>
  <si>
    <t>FT019A</t>
  </si>
  <si>
    <t>GF007A</t>
  </si>
  <si>
    <t>Espinaca</t>
  </si>
  <si>
    <t>FF020GP</t>
  </si>
  <si>
    <t>Feijoa</t>
  </si>
  <si>
    <t>YT013A</t>
  </si>
  <si>
    <t>Adicionales</t>
  </si>
  <si>
    <t xml:space="preserve">Fideos caseros </t>
  </si>
  <si>
    <t>Paquete</t>
  </si>
  <si>
    <t>YF014A</t>
  </si>
  <si>
    <t xml:space="preserve">Frijol lima </t>
  </si>
  <si>
    <t xml:space="preserve">Libra </t>
  </si>
  <si>
    <t>FT021A</t>
  </si>
  <si>
    <t>Fruta deshidratada</t>
  </si>
  <si>
    <t>FT022A</t>
  </si>
  <si>
    <t>FT023A</t>
  </si>
  <si>
    <t>FT024A</t>
  </si>
  <si>
    <t>Fruta deshidratada frutos rojos (mora, fresa, flor de jamaica), frutos amarillos (piña, uvilla, papaya) para infusiones (Paquete)</t>
  </si>
  <si>
    <t>FT025A</t>
  </si>
  <si>
    <t>Fruta deshidratada frutos rojos (mora, fresa, flor de jamaica), frutos amarillos (piñs, uvilla, papaya) para infusiones (Paquete)</t>
  </si>
  <si>
    <t>200gr</t>
  </si>
  <si>
    <t>AT007A</t>
  </si>
  <si>
    <t>Gelatina de pata</t>
  </si>
  <si>
    <t>Paquete 6 unidades</t>
  </si>
  <si>
    <t>FF026G</t>
  </si>
  <si>
    <t>Granadilla</t>
  </si>
  <si>
    <t>Docena</t>
  </si>
  <si>
    <t>FF027P</t>
  </si>
  <si>
    <t>Media docena</t>
  </si>
  <si>
    <t>YF015A</t>
  </si>
  <si>
    <t>Guandul</t>
  </si>
  <si>
    <t>YF016A</t>
  </si>
  <si>
    <t xml:space="preserve">Habichuela </t>
  </si>
  <si>
    <t xml:space="preserve">Paquete </t>
  </si>
  <si>
    <t>YF017A</t>
  </si>
  <si>
    <t>Proteínas</t>
  </si>
  <si>
    <t xml:space="preserve">Huevo Criollo </t>
  </si>
  <si>
    <t xml:space="preserve">Panal </t>
  </si>
  <si>
    <t>YF018A</t>
  </si>
  <si>
    <t>Huevo Feliz</t>
  </si>
  <si>
    <t>YF019A</t>
  </si>
  <si>
    <t xml:space="preserve">Lechuga </t>
  </si>
  <si>
    <t>GF008A</t>
  </si>
  <si>
    <t>Lechuga batavia</t>
  </si>
  <si>
    <t>GF009GP</t>
  </si>
  <si>
    <t>Lechuga crespa verde</t>
  </si>
  <si>
    <t>250gr</t>
  </si>
  <si>
    <t>YF020G</t>
  </si>
  <si>
    <t>Limón mandarino</t>
  </si>
  <si>
    <t xml:space="preserve">Docena </t>
  </si>
  <si>
    <t>YF030P</t>
  </si>
  <si>
    <t>Media Docena</t>
  </si>
  <si>
    <t>YF021A</t>
  </si>
  <si>
    <t>Limón tahití</t>
  </si>
  <si>
    <t>YF022A</t>
  </si>
  <si>
    <t>CF002G</t>
  </si>
  <si>
    <t>Mandarina</t>
  </si>
  <si>
    <t>CF003P</t>
  </si>
  <si>
    <t>GF010A</t>
  </si>
  <si>
    <t>Manzanilla</t>
  </si>
  <si>
    <t>AT008A</t>
  </si>
  <si>
    <t>Miel de abeja</t>
  </si>
  <si>
    <t>Media</t>
  </si>
  <si>
    <t>FT028P</t>
  </si>
  <si>
    <t>Miel de abeja con fruta deshidratada para infusiones</t>
  </si>
  <si>
    <t>Frasco 100gr</t>
  </si>
  <si>
    <t>Y0023GP</t>
  </si>
  <si>
    <t xml:space="preserve">Naranja </t>
  </si>
  <si>
    <t>YF024A</t>
  </si>
  <si>
    <t>AF009A</t>
  </si>
  <si>
    <t>Hongo Comestibles</t>
  </si>
  <si>
    <t>Orellana</t>
  </si>
  <si>
    <t>AF010A</t>
  </si>
  <si>
    <t>AF011A</t>
  </si>
  <si>
    <t>AT012A</t>
  </si>
  <si>
    <t>Panela en cuadro</t>
  </si>
  <si>
    <t>850gr</t>
  </si>
  <si>
    <t>AT013G</t>
  </si>
  <si>
    <t>Panela pulverizada</t>
  </si>
  <si>
    <t>AT014P</t>
  </si>
  <si>
    <t>300gr</t>
  </si>
  <si>
    <t>GF011A</t>
  </si>
  <si>
    <t>Tubérculo</t>
  </si>
  <si>
    <t>Papa capira</t>
  </si>
  <si>
    <t>GF012GP</t>
  </si>
  <si>
    <t>Perejil</t>
  </si>
  <si>
    <t>SF001P</t>
  </si>
  <si>
    <t>Sandoná</t>
  </si>
  <si>
    <t>Plátano amarillo</t>
  </si>
  <si>
    <t>SF002G</t>
  </si>
  <si>
    <t>FF029P</t>
  </si>
  <si>
    <t>FF030P</t>
  </si>
  <si>
    <t>FF031P</t>
  </si>
  <si>
    <t>Plátano verde</t>
  </si>
  <si>
    <t>FF032P</t>
  </si>
  <si>
    <t>AT015A</t>
  </si>
  <si>
    <t>Pronto alivio</t>
  </si>
  <si>
    <t>YT031A</t>
  </si>
  <si>
    <t>Queso campesino</t>
  </si>
  <si>
    <t>YF025A</t>
  </si>
  <si>
    <t xml:space="preserve">Remolacha </t>
  </si>
  <si>
    <t>Atado x 4 uni</t>
  </si>
  <si>
    <t>GF013GP</t>
  </si>
  <si>
    <t>Repollo verde</t>
  </si>
  <si>
    <t>FF033A</t>
  </si>
  <si>
    <t>Sábila</t>
  </si>
  <si>
    <t>Litro</t>
  </si>
  <si>
    <t>FF034P</t>
  </si>
  <si>
    <t>AT016A</t>
  </si>
  <si>
    <t>Sachainchi con sal</t>
  </si>
  <si>
    <t>150gr</t>
  </si>
  <si>
    <t>AT017A</t>
  </si>
  <si>
    <t>Sachainchi confitado</t>
  </si>
  <si>
    <t>AT018A</t>
  </si>
  <si>
    <t>Sachainchi natural</t>
  </si>
  <si>
    <t>FT036A</t>
  </si>
  <si>
    <t>Sazón blanco</t>
  </si>
  <si>
    <t>FT037A</t>
  </si>
  <si>
    <t>150gs</t>
  </si>
  <si>
    <t>FT041A</t>
  </si>
  <si>
    <t>Sazón natural</t>
  </si>
  <si>
    <t>FT035A</t>
  </si>
  <si>
    <t>Sazón rojo</t>
  </si>
  <si>
    <t>FT038A</t>
  </si>
  <si>
    <t>FT039A</t>
  </si>
  <si>
    <t>Sazón verde</t>
  </si>
  <si>
    <t>FT040P</t>
  </si>
  <si>
    <t>YT026A</t>
  </si>
  <si>
    <t xml:space="preserve">Tamal de queso </t>
  </si>
  <si>
    <t xml:space="preserve">x 2 unidades </t>
  </si>
  <si>
    <t>YF027A</t>
  </si>
  <si>
    <t xml:space="preserve">Tomate de árbol </t>
  </si>
  <si>
    <t xml:space="preserve">Media docena </t>
  </si>
  <si>
    <t>FF042P</t>
  </si>
  <si>
    <t>Yacón</t>
  </si>
  <si>
    <t>SF003G</t>
  </si>
  <si>
    <t>Yuca</t>
  </si>
  <si>
    <t>SF004P</t>
  </si>
  <si>
    <t>GF014A</t>
  </si>
  <si>
    <t>Zanahoria</t>
  </si>
  <si>
    <t>CF004A</t>
  </si>
  <si>
    <t>Zapote</t>
  </si>
  <si>
    <t>Municipio</t>
  </si>
  <si>
    <t>Columna1</t>
  </si>
  <si>
    <t>4 Se genere automatico</t>
  </si>
  <si>
    <t>Roles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</si>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</sst>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$-240A]\ #,##0"/>
    <numFmt numFmtId="166" formatCode="&quot;$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45B0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45B0E1"/>
      </top>
      <bottom/>
      <diagonal/>
    </border>
    <border>
      <left style="thin">
        <color rgb="FF000000"/>
      </left>
      <right style="thin">
        <color rgb="FF000000"/>
      </right>
      <top style="thin">
        <color rgb="FF45B0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wrapText="1"/>
    </xf>
    <xf numFmtId="166" fontId="4" fillId="0" borderId="7" xfId="0" applyNumberFormat="1" applyFont="1" applyBorder="1"/>
    <xf numFmtId="164" fontId="4" fillId="0" borderId="2" xfId="0" applyNumberFormat="1" applyFont="1" applyBorder="1"/>
    <xf numFmtId="165" fontId="4" fillId="0" borderId="3" xfId="0" applyNumberFormat="1" applyFont="1" applyBorder="1"/>
    <xf numFmtId="165" fontId="4" fillId="0" borderId="8" xfId="0" applyNumberFormat="1" applyFont="1" applyBorder="1"/>
    <xf numFmtId="0" fontId="4" fillId="0" borderId="4" xfId="0" applyFont="1" applyBorder="1"/>
    <xf numFmtId="166" fontId="4" fillId="0" borderId="4" xfId="0" applyNumberFormat="1" applyFont="1" applyBorder="1"/>
    <xf numFmtId="164" fontId="4" fillId="0" borderId="4" xfId="1" applyNumberFormat="1" applyFont="1" applyFill="1" applyBorder="1"/>
    <xf numFmtId="165" fontId="4" fillId="0" borderId="4" xfId="0" applyNumberFormat="1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66" fontId="4" fillId="0" borderId="7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wrapText="1"/>
    </xf>
    <xf numFmtId="166" fontId="4" fillId="0" borderId="12" xfId="0" applyNumberFormat="1" applyFont="1" applyBorder="1"/>
    <xf numFmtId="164" fontId="4" fillId="0" borderId="1" xfId="0" applyNumberFormat="1" applyFont="1" applyBorder="1"/>
    <xf numFmtId="165" fontId="4" fillId="0" borderId="13" xfId="0" applyNumberFormat="1" applyFont="1" applyBorder="1"/>
    <xf numFmtId="165" fontId="4" fillId="0" borderId="14" xfId="0" applyNumberFormat="1" applyFont="1" applyBorder="1"/>
    <xf numFmtId="0" fontId="4" fillId="0" borderId="4" xfId="0" applyFont="1" applyBorder="1" applyAlignment="1">
      <alignment wrapText="1"/>
    </xf>
    <xf numFmtId="164" fontId="4" fillId="0" borderId="4" xfId="0" applyNumberFormat="1" applyFont="1" applyBorder="1"/>
    <xf numFmtId="0" fontId="3" fillId="0" borderId="0" xfId="0" applyFont="1"/>
    <xf numFmtId="166" fontId="3" fillId="0" borderId="0" xfId="0" applyNumberFormat="1" applyFont="1"/>
  </cellXfs>
  <cellStyles count="2">
    <cellStyle name="Moneda" xfId="1" builtinId="4"/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240A]\ #,##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240A]\ #,##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\ #,##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6AA2B-6B42-4927-9AB8-E337C01DE389}" name="Oferta" displayName="Oferta" ref="A1:M116" totalsRowShown="0" headerRowDxfId="15" dataDxfId="14" tableBorderDxfId="13">
  <autoFilter ref="A1:M116" xr:uid="{3386AA2B-6B42-4927-9AB8-E337C01DE389}"/>
  <tableColumns count="13">
    <tableColumn id="1" xr3:uid="{19500D94-0A81-4508-B353-A17A2BE9104C}" name="Ítems" dataDxfId="12"/>
    <tableColumn id="2" xr3:uid="{5DCD1D24-1F7F-4FF7-BF30-B5004811C5D2}" name="Código" dataDxfId="11"/>
    <tableColumn id="3" xr3:uid="{55777C08-9528-4226-A274-99FD9C77D3C9}" name="Municipio" dataDxfId="10"/>
    <tableColumn id="4" xr3:uid="{24CA3758-47A3-4AE6-AA5C-F272BF95D2DE}" name="Categoría" dataDxfId="9"/>
    <tableColumn id="5" xr3:uid="{CF70DE46-E0FB-4DC9-A859-3DB5EC86927C}" name="Producto" dataDxfId="8"/>
    <tableColumn id="7" xr3:uid="{D322C767-BEC7-4486-B406-E9046F6768E1}" name="Presentación" dataDxfId="7"/>
    <tableColumn id="8" xr3:uid="{9B86CC24-83D8-4702-82BD-2A1572F4D008}" name="Costo Pcc" dataDxfId="6"/>
    <tableColumn id="9" xr3:uid="{863BD33B-746A-49C4-8C56-153190485427}" name="% Logística" dataDxfId="5"/>
    <tableColumn id="10" xr3:uid="{B504C738-58D8-4792-AE08-F51F78E79FE1}" name="%Transporte" dataDxfId="4"/>
    <tableColumn id="11" xr3:uid="{23FFA47B-9766-4C34-80D4-0D7808F9CE5F}" name="Precio Sugerido" dataDxfId="3"/>
    <tableColumn id="12" xr3:uid="{B19BD2C8-C122-43E3-BF9F-5693595B9B67}" name="Precio de Venta" dataDxfId="2"/>
    <tableColumn id="6" xr3:uid="{A288C11A-3574-40A5-ACB9-5D68529F019D}" name="Columna1" dataDxfId="1"/>
    <tableColumn id="13" xr3:uid="{3D2C83C0-2095-42E9-92D3-8C849762D77C}" name="Columna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45C0-1D7E-4049-9217-8795EC0FFDC5}">
  <dimension ref="A1:M116"/>
  <sheetViews>
    <sheetView tabSelected="1" workbookViewId="0">
      <selection activeCell="K2" sqref="E1:K2"/>
    </sheetView>
  </sheetViews>
  <sheetFormatPr baseColWidth="10" defaultRowHeight="14.4" x14ac:dyDescent="0.3"/>
  <cols>
    <col min="1" max="1" width="5.6640625" customWidth="1"/>
    <col min="4" max="4" width="13.88671875" customWidth="1"/>
    <col min="5" max="5" width="31.6640625" customWidth="1"/>
    <col min="6" max="6" width="14.33203125" customWidth="1"/>
    <col min="8" max="8" width="12.5546875" customWidth="1"/>
    <col min="9" max="9" width="12.44140625" customWidth="1"/>
    <col min="11" max="11" width="14.5546875" customWidth="1"/>
  </cols>
  <sheetData>
    <row r="1" spans="1:13" ht="28.8" x14ac:dyDescent="0.3">
      <c r="A1" s="1" t="s">
        <v>0</v>
      </c>
      <c r="B1" s="2" t="s">
        <v>1</v>
      </c>
      <c r="C1" s="2" t="s">
        <v>285</v>
      </c>
      <c r="D1" s="2" t="s">
        <v>2</v>
      </c>
      <c r="E1" s="3" t="s">
        <v>3</v>
      </c>
      <c r="F1" s="2" t="s">
        <v>4</v>
      </c>
      <c r="G1" s="4" t="s">
        <v>5</v>
      </c>
      <c r="H1" s="5" t="s">
        <v>6</v>
      </c>
      <c r="I1" s="5" t="s">
        <v>7</v>
      </c>
      <c r="J1" s="6" t="s">
        <v>8</v>
      </c>
      <c r="K1" s="4" t="s">
        <v>9</v>
      </c>
      <c r="L1" s="36" t="s">
        <v>286</v>
      </c>
      <c r="M1" s="36" t="s">
        <v>289</v>
      </c>
    </row>
    <row r="2" spans="1:13" x14ac:dyDescent="0.3">
      <c r="A2" s="7">
        <v>1</v>
      </c>
      <c r="B2" s="8" t="s">
        <v>10</v>
      </c>
      <c r="C2" s="9" t="s">
        <v>11</v>
      </c>
      <c r="D2" s="9" t="s">
        <v>12</v>
      </c>
      <c r="E2" s="10" t="s">
        <v>13</v>
      </c>
      <c r="F2" s="9" t="s">
        <v>14</v>
      </c>
      <c r="G2" s="11">
        <v>6000</v>
      </c>
      <c r="H2" s="12">
        <v>300</v>
      </c>
      <c r="I2" s="12">
        <v>300</v>
      </c>
      <c r="J2" s="13">
        <v>6600</v>
      </c>
      <c r="K2" s="14">
        <v>6000</v>
      </c>
      <c r="L2" s="36" t="s">
        <v>287</v>
      </c>
      <c r="M2" s="36"/>
    </row>
    <row r="3" spans="1:13" x14ac:dyDescent="0.3">
      <c r="A3" s="7">
        <v>2</v>
      </c>
      <c r="B3" s="8" t="s">
        <v>15</v>
      </c>
      <c r="C3" s="9" t="s">
        <v>11</v>
      </c>
      <c r="D3" s="9" t="s">
        <v>12</v>
      </c>
      <c r="E3" s="10" t="s">
        <v>16</v>
      </c>
      <c r="F3" s="9" t="s">
        <v>14</v>
      </c>
      <c r="G3" s="11">
        <v>6000</v>
      </c>
      <c r="H3" s="12">
        <v>300</v>
      </c>
      <c r="I3" s="12">
        <v>300</v>
      </c>
      <c r="J3" s="13">
        <v>6600</v>
      </c>
      <c r="K3" s="14">
        <v>6000</v>
      </c>
      <c r="L3" s="37">
        <f>Oferta[[#This Row],[Costo Pcc]]*0.05</f>
        <v>300</v>
      </c>
      <c r="M3" s="36" t="s">
        <v>288</v>
      </c>
    </row>
    <row r="4" spans="1:13" x14ac:dyDescent="0.3">
      <c r="A4" s="7">
        <v>3</v>
      </c>
      <c r="B4" s="8" t="s">
        <v>17</v>
      </c>
      <c r="C4" s="9" t="s">
        <v>18</v>
      </c>
      <c r="D4" s="9" t="s">
        <v>19</v>
      </c>
      <c r="E4" s="10" t="s">
        <v>20</v>
      </c>
      <c r="F4" s="9" t="s">
        <v>21</v>
      </c>
      <c r="G4" s="11">
        <v>2000</v>
      </c>
      <c r="H4" s="12">
        <v>100</v>
      </c>
      <c r="I4" s="12">
        <v>100</v>
      </c>
      <c r="J4" s="13">
        <v>2200</v>
      </c>
      <c r="K4" s="14">
        <v>2500</v>
      </c>
      <c r="L4" s="36"/>
      <c r="M4" s="36"/>
    </row>
    <row r="5" spans="1:13" x14ac:dyDescent="0.3">
      <c r="A5" s="7">
        <v>4</v>
      </c>
      <c r="B5" s="8" t="s">
        <v>22</v>
      </c>
      <c r="C5" s="9" t="s">
        <v>11</v>
      </c>
      <c r="D5" s="9" t="s">
        <v>19</v>
      </c>
      <c r="E5" s="10" t="s">
        <v>23</v>
      </c>
      <c r="F5" s="9" t="s">
        <v>24</v>
      </c>
      <c r="G5" s="11">
        <v>2600</v>
      </c>
      <c r="H5" s="12">
        <v>130</v>
      </c>
      <c r="I5" s="12">
        <v>130</v>
      </c>
      <c r="J5" s="13">
        <v>2860</v>
      </c>
      <c r="K5" s="14">
        <v>3000</v>
      </c>
      <c r="L5" s="36"/>
      <c r="M5" s="36"/>
    </row>
    <row r="6" spans="1:13" x14ac:dyDescent="0.3">
      <c r="A6" s="7">
        <v>5</v>
      </c>
      <c r="B6" s="8" t="s">
        <v>25</v>
      </c>
      <c r="C6" s="9" t="s">
        <v>26</v>
      </c>
      <c r="D6" s="9" t="s">
        <v>27</v>
      </c>
      <c r="E6" s="10" t="s">
        <v>28</v>
      </c>
      <c r="F6" s="9" t="s">
        <v>29</v>
      </c>
      <c r="G6" s="11">
        <v>2000</v>
      </c>
      <c r="H6" s="12">
        <v>100</v>
      </c>
      <c r="I6" s="12">
        <v>100</v>
      </c>
      <c r="J6" s="13">
        <v>2200</v>
      </c>
      <c r="K6" s="14">
        <v>2500</v>
      </c>
      <c r="L6" s="36"/>
      <c r="M6" s="36"/>
    </row>
    <row r="7" spans="1:13" x14ac:dyDescent="0.3">
      <c r="A7" s="7">
        <v>6</v>
      </c>
      <c r="B7" s="8" t="s">
        <v>30</v>
      </c>
      <c r="C7" s="9" t="s">
        <v>11</v>
      </c>
      <c r="D7" s="9" t="s">
        <v>31</v>
      </c>
      <c r="E7" s="10" t="s">
        <v>32</v>
      </c>
      <c r="F7" s="9" t="s">
        <v>33</v>
      </c>
      <c r="G7" s="11">
        <v>3000</v>
      </c>
      <c r="H7" s="12">
        <v>150</v>
      </c>
      <c r="I7" s="12">
        <v>150</v>
      </c>
      <c r="J7" s="13">
        <v>3300</v>
      </c>
      <c r="K7" s="14">
        <v>3000</v>
      </c>
      <c r="L7" s="36"/>
      <c r="M7" s="36"/>
    </row>
    <row r="8" spans="1:13" x14ac:dyDescent="0.3">
      <c r="A8" s="7">
        <v>7</v>
      </c>
      <c r="B8" s="8" t="s">
        <v>34</v>
      </c>
      <c r="C8" s="9" t="s">
        <v>35</v>
      </c>
      <c r="D8" s="9" t="s">
        <v>27</v>
      </c>
      <c r="E8" s="10" t="s">
        <v>36</v>
      </c>
      <c r="F8" s="9" t="s">
        <v>37</v>
      </c>
      <c r="G8" s="11">
        <v>8000</v>
      </c>
      <c r="H8" s="12">
        <v>400</v>
      </c>
      <c r="I8" s="12">
        <v>400</v>
      </c>
      <c r="J8" s="13">
        <v>8800</v>
      </c>
      <c r="K8" s="14">
        <v>9000</v>
      </c>
      <c r="L8" s="36"/>
      <c r="M8" s="36"/>
    </row>
    <row r="9" spans="1:13" x14ac:dyDescent="0.3">
      <c r="A9" s="7">
        <v>8</v>
      </c>
      <c r="B9" s="8" t="s">
        <v>38</v>
      </c>
      <c r="C9" s="9" t="s">
        <v>18</v>
      </c>
      <c r="D9" s="9" t="s">
        <v>19</v>
      </c>
      <c r="E9" s="10" t="s">
        <v>39</v>
      </c>
      <c r="F9" s="9" t="s">
        <v>40</v>
      </c>
      <c r="G9" s="11">
        <v>2500</v>
      </c>
      <c r="H9" s="12">
        <v>125</v>
      </c>
      <c r="I9" s="12">
        <v>125</v>
      </c>
      <c r="J9" s="13">
        <v>2750</v>
      </c>
      <c r="K9" s="14">
        <v>2500</v>
      </c>
      <c r="L9" s="36"/>
      <c r="M9" s="36"/>
    </row>
    <row r="10" spans="1:13" x14ac:dyDescent="0.3">
      <c r="A10" s="7">
        <v>9</v>
      </c>
      <c r="B10" s="8" t="s">
        <v>41</v>
      </c>
      <c r="C10" s="9" t="s">
        <v>11</v>
      </c>
      <c r="D10" s="9" t="s">
        <v>42</v>
      </c>
      <c r="E10" s="10" t="s">
        <v>43</v>
      </c>
      <c r="F10" s="9" t="s">
        <v>33</v>
      </c>
      <c r="G10" s="11">
        <v>2000</v>
      </c>
      <c r="H10" s="12">
        <v>100</v>
      </c>
      <c r="I10" s="12">
        <v>100</v>
      </c>
      <c r="J10" s="13">
        <v>2200</v>
      </c>
      <c r="K10" s="14">
        <v>2500</v>
      </c>
      <c r="L10" s="36"/>
      <c r="M10" s="36"/>
    </row>
    <row r="11" spans="1:13" x14ac:dyDescent="0.3">
      <c r="A11" s="7">
        <v>10</v>
      </c>
      <c r="B11" s="8" t="s">
        <v>44</v>
      </c>
      <c r="C11" s="9" t="s">
        <v>35</v>
      </c>
      <c r="D11" s="9" t="s">
        <v>45</v>
      </c>
      <c r="E11" s="10" t="s">
        <v>46</v>
      </c>
      <c r="F11" s="9" t="s">
        <v>47</v>
      </c>
      <c r="G11" s="11">
        <v>8500</v>
      </c>
      <c r="H11" s="12">
        <v>425</v>
      </c>
      <c r="I11" s="12">
        <v>425</v>
      </c>
      <c r="J11" s="13">
        <v>9350</v>
      </c>
      <c r="K11" s="14">
        <v>9500</v>
      </c>
      <c r="L11" s="36"/>
      <c r="M11" s="36"/>
    </row>
    <row r="12" spans="1:13" x14ac:dyDescent="0.3">
      <c r="A12" s="7">
        <v>11</v>
      </c>
      <c r="B12" s="8" t="s">
        <v>48</v>
      </c>
      <c r="C12" s="9" t="s">
        <v>11</v>
      </c>
      <c r="D12" s="9" t="s">
        <v>49</v>
      </c>
      <c r="E12" s="10" t="s">
        <v>50</v>
      </c>
      <c r="F12" s="9" t="s">
        <v>51</v>
      </c>
      <c r="G12" s="11">
        <v>2000</v>
      </c>
      <c r="H12" s="12">
        <v>100</v>
      </c>
      <c r="I12" s="12">
        <v>100</v>
      </c>
      <c r="J12" s="13">
        <v>2200</v>
      </c>
      <c r="K12" s="14">
        <v>2200</v>
      </c>
      <c r="L12" s="36"/>
      <c r="M12" s="36"/>
    </row>
    <row r="13" spans="1:13" x14ac:dyDescent="0.3">
      <c r="A13" s="7">
        <v>12</v>
      </c>
      <c r="B13" s="8" t="s">
        <v>52</v>
      </c>
      <c r="C13" s="9" t="s">
        <v>11</v>
      </c>
      <c r="D13" s="9" t="s">
        <v>49</v>
      </c>
      <c r="E13" s="10" t="s">
        <v>53</v>
      </c>
      <c r="F13" s="9" t="s">
        <v>24</v>
      </c>
      <c r="G13" s="11">
        <v>2300</v>
      </c>
      <c r="H13" s="12">
        <v>115</v>
      </c>
      <c r="I13" s="12">
        <v>115</v>
      </c>
      <c r="J13" s="13">
        <v>2530</v>
      </c>
      <c r="K13" s="14">
        <v>2500</v>
      </c>
      <c r="L13" s="36"/>
      <c r="M13" s="36"/>
    </row>
    <row r="14" spans="1:13" x14ac:dyDescent="0.3">
      <c r="A14" s="7">
        <v>13</v>
      </c>
      <c r="B14" s="8" t="s">
        <v>54</v>
      </c>
      <c r="C14" s="9" t="s">
        <v>11</v>
      </c>
      <c r="D14" s="9" t="s">
        <v>49</v>
      </c>
      <c r="E14" s="10" t="s">
        <v>55</v>
      </c>
      <c r="F14" s="9" t="s">
        <v>24</v>
      </c>
      <c r="G14" s="11">
        <v>2300</v>
      </c>
      <c r="H14" s="12">
        <v>115</v>
      </c>
      <c r="I14" s="12">
        <v>115</v>
      </c>
      <c r="J14" s="13">
        <v>2530</v>
      </c>
      <c r="K14" s="14">
        <v>2500</v>
      </c>
      <c r="L14" s="36"/>
      <c r="M14" s="36"/>
    </row>
    <row r="15" spans="1:13" x14ac:dyDescent="0.3">
      <c r="A15" s="7">
        <v>14</v>
      </c>
      <c r="B15" s="8" t="s">
        <v>56</v>
      </c>
      <c r="C15" s="9" t="s">
        <v>11</v>
      </c>
      <c r="D15" s="9" t="s">
        <v>49</v>
      </c>
      <c r="E15" s="10" t="s">
        <v>57</v>
      </c>
      <c r="F15" s="9" t="s">
        <v>51</v>
      </c>
      <c r="G15" s="11">
        <v>2300</v>
      </c>
      <c r="H15" s="12">
        <v>115</v>
      </c>
      <c r="I15" s="12">
        <v>115</v>
      </c>
      <c r="J15" s="13">
        <v>2530</v>
      </c>
      <c r="K15" s="14">
        <v>2500</v>
      </c>
      <c r="L15" s="36"/>
      <c r="M15" s="36"/>
    </row>
    <row r="16" spans="1:13" x14ac:dyDescent="0.3">
      <c r="A16" s="7">
        <v>15</v>
      </c>
      <c r="B16" s="8" t="s">
        <v>58</v>
      </c>
      <c r="C16" s="9" t="s">
        <v>35</v>
      </c>
      <c r="D16" s="9" t="s">
        <v>31</v>
      </c>
      <c r="E16" s="10" t="s">
        <v>59</v>
      </c>
      <c r="F16" s="9" t="s">
        <v>60</v>
      </c>
      <c r="G16" s="11">
        <v>4500</v>
      </c>
      <c r="H16" s="12">
        <v>225</v>
      </c>
      <c r="I16" s="12">
        <v>225</v>
      </c>
      <c r="J16" s="13">
        <v>4950</v>
      </c>
      <c r="K16" s="14">
        <v>5500</v>
      </c>
      <c r="L16" s="36"/>
      <c r="M16" s="36"/>
    </row>
    <row r="17" spans="1:13" x14ac:dyDescent="0.3">
      <c r="A17" s="7">
        <v>16</v>
      </c>
      <c r="B17" s="8" t="s">
        <v>61</v>
      </c>
      <c r="C17" s="9" t="s">
        <v>35</v>
      </c>
      <c r="D17" s="9" t="s">
        <v>31</v>
      </c>
      <c r="E17" s="10" t="s">
        <v>59</v>
      </c>
      <c r="F17" s="9" t="s">
        <v>62</v>
      </c>
      <c r="G17" s="11">
        <v>2500</v>
      </c>
      <c r="H17" s="12">
        <v>125</v>
      </c>
      <c r="I17" s="12">
        <v>125</v>
      </c>
      <c r="J17" s="13">
        <v>2750</v>
      </c>
      <c r="K17" s="14">
        <v>3000</v>
      </c>
      <c r="L17" s="36"/>
      <c r="M17" s="36"/>
    </row>
    <row r="18" spans="1:13" x14ac:dyDescent="0.3">
      <c r="A18" s="7">
        <v>17</v>
      </c>
      <c r="B18" s="8" t="s">
        <v>63</v>
      </c>
      <c r="C18" s="9" t="s">
        <v>18</v>
      </c>
      <c r="D18" s="9" t="s">
        <v>19</v>
      </c>
      <c r="E18" s="10" t="s">
        <v>64</v>
      </c>
      <c r="F18" s="9" t="s">
        <v>65</v>
      </c>
      <c r="G18" s="11">
        <v>3200</v>
      </c>
      <c r="H18" s="12">
        <v>160</v>
      </c>
      <c r="I18" s="12">
        <v>160</v>
      </c>
      <c r="J18" s="13">
        <v>3520</v>
      </c>
      <c r="K18" s="14">
        <v>3500</v>
      </c>
      <c r="L18" s="36"/>
      <c r="M18" s="36"/>
    </row>
    <row r="19" spans="1:13" x14ac:dyDescent="0.3">
      <c r="A19" s="7">
        <v>18</v>
      </c>
      <c r="B19" s="8" t="s">
        <v>66</v>
      </c>
      <c r="C19" s="9" t="s">
        <v>35</v>
      </c>
      <c r="D19" s="9" t="s">
        <v>67</v>
      </c>
      <c r="E19" s="10" t="s">
        <v>68</v>
      </c>
      <c r="F19" s="9" t="s">
        <v>69</v>
      </c>
      <c r="G19" s="11">
        <v>40000</v>
      </c>
      <c r="H19" s="12">
        <f>G19*5%</f>
        <v>2000</v>
      </c>
      <c r="I19" s="12">
        <f>G19*5%</f>
        <v>2000</v>
      </c>
      <c r="J19" s="13">
        <f>G19+H19+I19</f>
        <v>44000</v>
      </c>
      <c r="K19" s="14">
        <v>40000</v>
      </c>
      <c r="L19" s="36"/>
      <c r="M19" s="36"/>
    </row>
    <row r="20" spans="1:13" x14ac:dyDescent="0.3">
      <c r="A20" s="7">
        <v>19</v>
      </c>
      <c r="B20" s="8" t="s">
        <v>70</v>
      </c>
      <c r="C20" s="9" t="s">
        <v>11</v>
      </c>
      <c r="D20" s="9" t="s">
        <v>67</v>
      </c>
      <c r="E20" s="10" t="s">
        <v>71</v>
      </c>
      <c r="F20" s="9" t="s">
        <v>72</v>
      </c>
      <c r="G20" s="11">
        <v>30000</v>
      </c>
      <c r="H20" s="12">
        <v>1500</v>
      </c>
      <c r="I20" s="12">
        <v>1500</v>
      </c>
      <c r="J20" s="13">
        <v>33000</v>
      </c>
      <c r="K20" s="14">
        <v>30000</v>
      </c>
      <c r="L20" s="36"/>
      <c r="M20" s="36"/>
    </row>
    <row r="21" spans="1:13" x14ac:dyDescent="0.3">
      <c r="A21" s="7">
        <v>20</v>
      </c>
      <c r="B21" s="8" t="s">
        <v>73</v>
      </c>
      <c r="C21" s="9" t="s">
        <v>11</v>
      </c>
      <c r="D21" s="9" t="s">
        <v>67</v>
      </c>
      <c r="E21" s="10" t="s">
        <v>71</v>
      </c>
      <c r="F21" s="9" t="s">
        <v>74</v>
      </c>
      <c r="G21" s="11">
        <v>15000</v>
      </c>
      <c r="H21" s="12">
        <v>750</v>
      </c>
      <c r="I21" s="12">
        <v>750</v>
      </c>
      <c r="J21" s="13">
        <v>16500</v>
      </c>
      <c r="K21" s="14">
        <v>15000</v>
      </c>
      <c r="L21" s="36"/>
      <c r="M21" s="36"/>
    </row>
    <row r="22" spans="1:13" x14ac:dyDescent="0.3">
      <c r="A22" s="7">
        <v>21</v>
      </c>
      <c r="B22" s="8" t="s">
        <v>75</v>
      </c>
      <c r="C22" s="9" t="s">
        <v>18</v>
      </c>
      <c r="D22" s="9" t="s">
        <v>49</v>
      </c>
      <c r="E22" s="10" t="s">
        <v>76</v>
      </c>
      <c r="F22" s="9" t="s">
        <v>77</v>
      </c>
      <c r="G22" s="11">
        <v>2000</v>
      </c>
      <c r="H22" s="12">
        <v>100</v>
      </c>
      <c r="I22" s="12">
        <v>100</v>
      </c>
      <c r="J22" s="13">
        <v>2200</v>
      </c>
      <c r="K22" s="14">
        <v>2500</v>
      </c>
      <c r="L22" s="36"/>
      <c r="M22" s="36"/>
    </row>
    <row r="23" spans="1:13" x14ac:dyDescent="0.3">
      <c r="A23" s="7">
        <v>22</v>
      </c>
      <c r="B23" s="8" t="s">
        <v>78</v>
      </c>
      <c r="C23" s="9" t="s">
        <v>35</v>
      </c>
      <c r="D23" s="9" t="s">
        <v>79</v>
      </c>
      <c r="E23" s="10" t="s">
        <v>80</v>
      </c>
      <c r="F23" s="9" t="s">
        <v>81</v>
      </c>
      <c r="G23" s="11">
        <v>5000</v>
      </c>
      <c r="H23" s="12">
        <v>250</v>
      </c>
      <c r="I23" s="12">
        <v>250</v>
      </c>
      <c r="J23" s="13">
        <v>5500</v>
      </c>
      <c r="K23" s="14">
        <v>6000</v>
      </c>
      <c r="L23" s="36"/>
      <c r="M23" s="36"/>
    </row>
    <row r="24" spans="1:13" x14ac:dyDescent="0.3">
      <c r="A24" s="7">
        <v>23</v>
      </c>
      <c r="B24" s="8" t="s">
        <v>82</v>
      </c>
      <c r="C24" s="9" t="s">
        <v>35</v>
      </c>
      <c r="D24" s="9" t="s">
        <v>83</v>
      </c>
      <c r="E24" s="10" t="s">
        <v>84</v>
      </c>
      <c r="F24" s="9" t="s">
        <v>85</v>
      </c>
      <c r="G24" s="11">
        <v>9000</v>
      </c>
      <c r="H24" s="12">
        <v>450</v>
      </c>
      <c r="I24" s="12">
        <v>450</v>
      </c>
      <c r="J24" s="13">
        <v>9900</v>
      </c>
      <c r="K24" s="14">
        <v>10000</v>
      </c>
      <c r="L24" s="36"/>
      <c r="M24" s="36"/>
    </row>
    <row r="25" spans="1:13" x14ac:dyDescent="0.3">
      <c r="A25" s="7">
        <v>24</v>
      </c>
      <c r="B25" s="8" t="s">
        <v>86</v>
      </c>
      <c r="C25" s="9" t="s">
        <v>35</v>
      </c>
      <c r="D25" s="9" t="s">
        <v>83</v>
      </c>
      <c r="E25" s="10" t="s">
        <v>84</v>
      </c>
      <c r="F25" s="9" t="s">
        <v>87</v>
      </c>
      <c r="G25" s="11">
        <v>4500</v>
      </c>
      <c r="H25" s="12">
        <v>225</v>
      </c>
      <c r="I25" s="12">
        <v>225</v>
      </c>
      <c r="J25" s="13">
        <v>4950</v>
      </c>
      <c r="K25" s="14">
        <v>5000</v>
      </c>
      <c r="L25" s="36"/>
      <c r="M25" s="36"/>
    </row>
    <row r="26" spans="1:13" x14ac:dyDescent="0.3">
      <c r="A26" s="7">
        <v>25</v>
      </c>
      <c r="B26" s="8" t="s">
        <v>88</v>
      </c>
      <c r="C26" s="9" t="s">
        <v>89</v>
      </c>
      <c r="D26" s="9" t="s">
        <v>42</v>
      </c>
      <c r="E26" s="10" t="s">
        <v>90</v>
      </c>
      <c r="F26" s="9" t="s">
        <v>91</v>
      </c>
      <c r="G26" s="11">
        <v>2250</v>
      </c>
      <c r="H26" s="12">
        <v>112.5</v>
      </c>
      <c r="I26" s="12">
        <v>112.5</v>
      </c>
      <c r="J26" s="13">
        <v>2475</v>
      </c>
      <c r="K26" s="14">
        <v>2500</v>
      </c>
      <c r="L26" s="36"/>
      <c r="M26" s="36"/>
    </row>
    <row r="27" spans="1:13" x14ac:dyDescent="0.3">
      <c r="A27" s="7">
        <v>26</v>
      </c>
      <c r="B27" s="8" t="s">
        <v>92</v>
      </c>
      <c r="C27" s="9" t="s">
        <v>89</v>
      </c>
      <c r="D27" s="9" t="s">
        <v>42</v>
      </c>
      <c r="E27" s="10" t="s">
        <v>93</v>
      </c>
      <c r="F27" s="9" t="s">
        <v>77</v>
      </c>
      <c r="G27" s="11">
        <v>2250</v>
      </c>
      <c r="H27" s="12">
        <v>112.5</v>
      </c>
      <c r="I27" s="12">
        <v>112.5</v>
      </c>
      <c r="J27" s="13">
        <v>2475</v>
      </c>
      <c r="K27" s="14">
        <v>2500</v>
      </c>
      <c r="L27" s="36"/>
      <c r="M27" s="36"/>
    </row>
    <row r="28" spans="1:13" x14ac:dyDescent="0.3">
      <c r="A28" s="7">
        <v>27</v>
      </c>
      <c r="B28" s="8" t="s">
        <v>94</v>
      </c>
      <c r="C28" s="9" t="s">
        <v>89</v>
      </c>
      <c r="D28" s="9" t="s">
        <v>42</v>
      </c>
      <c r="E28" s="10" t="s">
        <v>95</v>
      </c>
      <c r="F28" s="9" t="s">
        <v>91</v>
      </c>
      <c r="G28" s="11">
        <v>2250</v>
      </c>
      <c r="H28" s="12">
        <v>112.5</v>
      </c>
      <c r="I28" s="12">
        <v>112.5</v>
      </c>
      <c r="J28" s="13">
        <v>2475</v>
      </c>
      <c r="K28" s="14">
        <v>2500</v>
      </c>
      <c r="L28" s="36"/>
      <c r="M28" s="36"/>
    </row>
    <row r="29" spans="1:13" x14ac:dyDescent="0.3">
      <c r="A29" s="7">
        <v>28</v>
      </c>
      <c r="B29" s="8" t="s">
        <v>96</v>
      </c>
      <c r="C29" s="9" t="s">
        <v>89</v>
      </c>
      <c r="D29" s="9" t="s">
        <v>42</v>
      </c>
      <c r="E29" s="10" t="s">
        <v>97</v>
      </c>
      <c r="F29" s="9" t="s">
        <v>91</v>
      </c>
      <c r="G29" s="11">
        <v>2250</v>
      </c>
      <c r="H29" s="12">
        <v>112.5</v>
      </c>
      <c r="I29" s="12">
        <v>112.5</v>
      </c>
      <c r="J29" s="13">
        <v>2475</v>
      </c>
      <c r="K29" s="14">
        <v>2500</v>
      </c>
      <c r="L29" s="36"/>
      <c r="M29" s="36"/>
    </row>
    <row r="30" spans="1:13" x14ac:dyDescent="0.3">
      <c r="A30" s="7">
        <v>29</v>
      </c>
      <c r="B30" s="8" t="s">
        <v>98</v>
      </c>
      <c r="C30" s="9" t="s">
        <v>11</v>
      </c>
      <c r="D30" s="9" t="s">
        <v>19</v>
      </c>
      <c r="E30" s="10" t="s">
        <v>99</v>
      </c>
      <c r="F30" s="9" t="s">
        <v>33</v>
      </c>
      <c r="G30" s="11">
        <v>1800</v>
      </c>
      <c r="H30" s="12">
        <v>90</v>
      </c>
      <c r="I30" s="12">
        <v>90</v>
      </c>
      <c r="J30" s="13">
        <v>1980</v>
      </c>
      <c r="K30" s="14">
        <v>2000</v>
      </c>
      <c r="L30" s="36"/>
      <c r="M30" s="36"/>
    </row>
    <row r="31" spans="1:13" x14ac:dyDescent="0.3">
      <c r="A31" s="7">
        <v>30</v>
      </c>
      <c r="B31" s="8" t="s">
        <v>100</v>
      </c>
      <c r="C31" s="9" t="s">
        <v>35</v>
      </c>
      <c r="D31" s="9" t="s">
        <v>19</v>
      </c>
      <c r="E31" s="10" t="s">
        <v>101</v>
      </c>
      <c r="F31" s="9" t="s">
        <v>81</v>
      </c>
      <c r="G31" s="11">
        <v>2000</v>
      </c>
      <c r="H31" s="12">
        <v>100</v>
      </c>
      <c r="I31" s="12">
        <v>100</v>
      </c>
      <c r="J31" s="13">
        <v>2200</v>
      </c>
      <c r="K31" s="14">
        <v>2500</v>
      </c>
      <c r="L31" s="36"/>
      <c r="M31" s="36"/>
    </row>
    <row r="32" spans="1:13" x14ac:dyDescent="0.3">
      <c r="A32" s="7">
        <v>31</v>
      </c>
      <c r="B32" s="15" t="s">
        <v>102</v>
      </c>
      <c r="C32" s="15" t="s">
        <v>11</v>
      </c>
      <c r="D32" s="15" t="s">
        <v>49</v>
      </c>
      <c r="E32" s="15" t="s">
        <v>103</v>
      </c>
      <c r="F32" s="15" t="s">
        <v>104</v>
      </c>
      <c r="G32" s="16">
        <v>1700</v>
      </c>
      <c r="H32" s="17">
        <f t="shared" ref="H32" si="0">G32*5%</f>
        <v>85</v>
      </c>
      <c r="I32" s="17">
        <f t="shared" ref="I32" si="1">G32*5%</f>
        <v>85</v>
      </c>
      <c r="J32" s="18">
        <f t="shared" ref="J32" si="2">G32+H32+I32</f>
        <v>1870</v>
      </c>
      <c r="K32" s="18">
        <v>2000</v>
      </c>
      <c r="L32" s="36"/>
      <c r="M32" s="36"/>
    </row>
    <row r="33" spans="1:13" x14ac:dyDescent="0.3">
      <c r="A33" s="7">
        <v>32</v>
      </c>
      <c r="B33" s="8" t="s">
        <v>105</v>
      </c>
      <c r="C33" s="9" t="s">
        <v>18</v>
      </c>
      <c r="D33" s="9" t="s">
        <v>19</v>
      </c>
      <c r="E33" s="10" t="s">
        <v>106</v>
      </c>
      <c r="F33" s="9" t="s">
        <v>107</v>
      </c>
      <c r="G33" s="11">
        <v>1500</v>
      </c>
      <c r="H33" s="12">
        <v>75</v>
      </c>
      <c r="I33" s="12">
        <v>75</v>
      </c>
      <c r="J33" s="13">
        <v>1650</v>
      </c>
      <c r="K33" s="14">
        <v>1800</v>
      </c>
      <c r="L33" s="36"/>
      <c r="M33" s="36"/>
    </row>
    <row r="34" spans="1:13" x14ac:dyDescent="0.3">
      <c r="A34" s="7">
        <v>33</v>
      </c>
      <c r="B34" s="8" t="s">
        <v>108</v>
      </c>
      <c r="C34" s="9" t="s">
        <v>11</v>
      </c>
      <c r="D34" s="9" t="s">
        <v>19</v>
      </c>
      <c r="E34" s="10" t="s">
        <v>109</v>
      </c>
      <c r="F34" s="9" t="s">
        <v>104</v>
      </c>
      <c r="G34" s="11">
        <v>1600</v>
      </c>
      <c r="H34" s="12">
        <v>80</v>
      </c>
      <c r="I34" s="12">
        <v>80</v>
      </c>
      <c r="J34" s="13">
        <v>1760</v>
      </c>
      <c r="K34" s="14">
        <v>2000</v>
      </c>
      <c r="L34" s="36"/>
      <c r="M34" s="36"/>
    </row>
    <row r="35" spans="1:13" x14ac:dyDescent="0.3">
      <c r="A35" s="7">
        <v>34</v>
      </c>
      <c r="B35" s="8" t="s">
        <v>110</v>
      </c>
      <c r="C35" s="9" t="s">
        <v>11</v>
      </c>
      <c r="D35" s="9" t="s">
        <v>19</v>
      </c>
      <c r="E35" s="10" t="s">
        <v>109</v>
      </c>
      <c r="F35" s="9" t="s">
        <v>111</v>
      </c>
      <c r="G35" s="11">
        <v>900</v>
      </c>
      <c r="H35" s="12">
        <v>45</v>
      </c>
      <c r="I35" s="12">
        <v>45</v>
      </c>
      <c r="J35" s="13">
        <v>990</v>
      </c>
      <c r="K35" s="14">
        <v>1000</v>
      </c>
      <c r="L35" s="36"/>
      <c r="M35" s="36"/>
    </row>
    <row r="36" spans="1:13" x14ac:dyDescent="0.3">
      <c r="A36" s="7">
        <v>35</v>
      </c>
      <c r="B36" s="8" t="s">
        <v>112</v>
      </c>
      <c r="C36" s="9" t="s">
        <v>89</v>
      </c>
      <c r="D36" s="9" t="s">
        <v>49</v>
      </c>
      <c r="E36" s="10" t="s">
        <v>113</v>
      </c>
      <c r="F36" s="9" t="s">
        <v>104</v>
      </c>
      <c r="G36" s="11">
        <v>2000</v>
      </c>
      <c r="H36" s="12">
        <v>100</v>
      </c>
      <c r="I36" s="12">
        <v>100</v>
      </c>
      <c r="J36" s="13">
        <v>2200</v>
      </c>
      <c r="K36" s="14">
        <v>2500</v>
      </c>
      <c r="L36" s="36"/>
      <c r="M36" s="36"/>
    </row>
    <row r="37" spans="1:13" x14ac:dyDescent="0.3">
      <c r="A37" s="7">
        <v>36</v>
      </c>
      <c r="B37" s="8" t="s">
        <v>114</v>
      </c>
      <c r="C37" s="9" t="s">
        <v>89</v>
      </c>
      <c r="D37" s="9" t="s">
        <v>49</v>
      </c>
      <c r="E37" s="10" t="s">
        <v>113</v>
      </c>
      <c r="F37" s="9" t="s">
        <v>115</v>
      </c>
      <c r="G37" s="11">
        <v>1000</v>
      </c>
      <c r="H37" s="12">
        <v>50</v>
      </c>
      <c r="I37" s="12">
        <v>50</v>
      </c>
      <c r="J37" s="13">
        <v>1100</v>
      </c>
      <c r="K37" s="14">
        <v>1300</v>
      </c>
      <c r="L37" s="36"/>
      <c r="M37" s="36"/>
    </row>
    <row r="38" spans="1:13" x14ac:dyDescent="0.3">
      <c r="A38" s="7">
        <v>37</v>
      </c>
      <c r="B38" s="8" t="s">
        <v>116</v>
      </c>
      <c r="C38" s="9" t="s">
        <v>18</v>
      </c>
      <c r="D38" s="9" t="s">
        <v>19</v>
      </c>
      <c r="E38" s="10" t="s">
        <v>117</v>
      </c>
      <c r="F38" s="9" t="s">
        <v>65</v>
      </c>
      <c r="G38" s="11">
        <v>3200</v>
      </c>
      <c r="H38" s="12">
        <v>160</v>
      </c>
      <c r="I38" s="12">
        <v>160</v>
      </c>
      <c r="J38" s="13">
        <v>3520</v>
      </c>
      <c r="K38" s="14">
        <v>4000</v>
      </c>
      <c r="L38" s="36"/>
      <c r="M38" s="36"/>
    </row>
    <row r="39" spans="1:13" x14ac:dyDescent="0.3">
      <c r="A39" s="7">
        <v>38</v>
      </c>
      <c r="B39" s="8" t="s">
        <v>118</v>
      </c>
      <c r="C39" s="9" t="s">
        <v>35</v>
      </c>
      <c r="D39" s="9" t="s">
        <v>119</v>
      </c>
      <c r="E39" s="10" t="s">
        <v>120</v>
      </c>
      <c r="F39" s="9" t="s">
        <v>121</v>
      </c>
      <c r="G39" s="11">
        <v>8500</v>
      </c>
      <c r="H39" s="12">
        <v>425</v>
      </c>
      <c r="I39" s="12">
        <v>425</v>
      </c>
      <c r="J39" s="13">
        <v>9350</v>
      </c>
      <c r="K39" s="14">
        <v>9500</v>
      </c>
      <c r="L39" s="36"/>
      <c r="M39" s="36"/>
    </row>
    <row r="40" spans="1:13" x14ac:dyDescent="0.3">
      <c r="A40" s="7">
        <v>39</v>
      </c>
      <c r="B40" s="8" t="s">
        <v>122</v>
      </c>
      <c r="C40" s="9" t="s">
        <v>35</v>
      </c>
      <c r="D40" s="9" t="s">
        <v>27</v>
      </c>
      <c r="E40" s="10" t="s">
        <v>123</v>
      </c>
      <c r="F40" s="9" t="s">
        <v>124</v>
      </c>
      <c r="G40" s="11">
        <v>2000</v>
      </c>
      <c r="H40" s="12">
        <v>100</v>
      </c>
      <c r="I40" s="12">
        <v>100</v>
      </c>
      <c r="J40" s="13">
        <v>2200</v>
      </c>
      <c r="K40" s="14">
        <v>2500</v>
      </c>
      <c r="L40" s="36"/>
      <c r="M40" s="36"/>
    </row>
    <row r="41" spans="1:13" x14ac:dyDescent="0.3">
      <c r="A41" s="7">
        <v>40</v>
      </c>
      <c r="B41" s="8" t="s">
        <v>125</v>
      </c>
      <c r="C41" s="9" t="s">
        <v>35</v>
      </c>
      <c r="D41" s="9" t="s">
        <v>45</v>
      </c>
      <c r="E41" s="10" t="s">
        <v>126</v>
      </c>
      <c r="F41" s="9" t="s">
        <v>127</v>
      </c>
      <c r="G41" s="11">
        <v>12000</v>
      </c>
      <c r="H41" s="12">
        <v>600</v>
      </c>
      <c r="I41" s="12">
        <v>600</v>
      </c>
      <c r="J41" s="13">
        <v>13200</v>
      </c>
      <c r="K41" s="14">
        <v>13000</v>
      </c>
      <c r="L41" s="36"/>
      <c r="M41" s="36"/>
    </row>
    <row r="42" spans="1:13" x14ac:dyDescent="0.3">
      <c r="A42" s="7">
        <v>41</v>
      </c>
      <c r="B42" s="8" t="s">
        <v>128</v>
      </c>
      <c r="C42" s="9" t="s">
        <v>35</v>
      </c>
      <c r="D42" s="9" t="s">
        <v>45</v>
      </c>
      <c r="E42" s="10" t="s">
        <v>126</v>
      </c>
      <c r="F42" s="9" t="s">
        <v>129</v>
      </c>
      <c r="G42" s="11">
        <v>6000</v>
      </c>
      <c r="H42" s="12">
        <v>300</v>
      </c>
      <c r="I42" s="12">
        <v>300</v>
      </c>
      <c r="J42" s="13">
        <v>6600</v>
      </c>
      <c r="K42" s="14">
        <v>6600</v>
      </c>
      <c r="L42" s="36"/>
      <c r="M42" s="36"/>
    </row>
    <row r="43" spans="1:13" x14ac:dyDescent="0.3">
      <c r="A43" s="7">
        <v>42</v>
      </c>
      <c r="B43" s="8" t="s">
        <v>130</v>
      </c>
      <c r="C43" s="9" t="s">
        <v>35</v>
      </c>
      <c r="D43" s="9" t="s">
        <v>45</v>
      </c>
      <c r="E43" s="10" t="s">
        <v>131</v>
      </c>
      <c r="F43" s="9" t="s">
        <v>129</v>
      </c>
      <c r="G43" s="11">
        <v>6000</v>
      </c>
      <c r="H43" s="12">
        <v>300</v>
      </c>
      <c r="I43" s="12">
        <v>300</v>
      </c>
      <c r="J43" s="13">
        <v>6600</v>
      </c>
      <c r="K43" s="14">
        <v>6600</v>
      </c>
      <c r="L43" s="36"/>
      <c r="M43" s="36"/>
    </row>
    <row r="44" spans="1:13" x14ac:dyDescent="0.3">
      <c r="A44" s="7">
        <v>43</v>
      </c>
      <c r="B44" s="8" t="s">
        <v>132</v>
      </c>
      <c r="C44" s="9" t="s">
        <v>35</v>
      </c>
      <c r="D44" s="9" t="s">
        <v>45</v>
      </c>
      <c r="E44" s="10" t="s">
        <v>133</v>
      </c>
      <c r="F44" s="9" t="s">
        <v>127</v>
      </c>
      <c r="G44" s="11">
        <v>12000</v>
      </c>
      <c r="H44" s="12">
        <v>600</v>
      </c>
      <c r="I44" s="12">
        <v>600</v>
      </c>
      <c r="J44" s="13">
        <v>13200</v>
      </c>
      <c r="K44" s="14">
        <v>13000</v>
      </c>
      <c r="L44" s="36"/>
      <c r="M44" s="36"/>
    </row>
    <row r="45" spans="1:13" x14ac:dyDescent="0.3">
      <c r="A45" s="7">
        <v>44</v>
      </c>
      <c r="B45" s="8" t="s">
        <v>134</v>
      </c>
      <c r="C45" s="9" t="s">
        <v>35</v>
      </c>
      <c r="D45" s="9" t="s">
        <v>45</v>
      </c>
      <c r="E45" s="10" t="s">
        <v>135</v>
      </c>
      <c r="F45" s="9" t="s">
        <v>136</v>
      </c>
      <c r="G45" s="11">
        <v>10000</v>
      </c>
      <c r="H45" s="12">
        <v>500</v>
      </c>
      <c r="I45" s="12">
        <v>500</v>
      </c>
      <c r="J45" s="13">
        <v>11000</v>
      </c>
      <c r="K45" s="14">
        <v>11000</v>
      </c>
      <c r="L45" s="36"/>
      <c r="M45" s="36"/>
    </row>
    <row r="46" spans="1:13" x14ac:dyDescent="0.3">
      <c r="A46" s="7">
        <v>45</v>
      </c>
      <c r="B46" s="8" t="s">
        <v>137</v>
      </c>
      <c r="C46" s="9" t="s">
        <v>35</v>
      </c>
      <c r="D46" s="9" t="s">
        <v>45</v>
      </c>
      <c r="E46" s="10" t="s">
        <v>138</v>
      </c>
      <c r="F46" s="9" t="s">
        <v>136</v>
      </c>
      <c r="G46" s="11">
        <v>12000</v>
      </c>
      <c r="H46" s="12">
        <v>600</v>
      </c>
      <c r="I46" s="12">
        <v>600</v>
      </c>
      <c r="J46" s="13">
        <v>13200</v>
      </c>
      <c r="K46" s="14">
        <v>13500</v>
      </c>
      <c r="L46" s="36"/>
      <c r="M46" s="36"/>
    </row>
    <row r="47" spans="1:13" x14ac:dyDescent="0.3">
      <c r="A47" s="7">
        <v>46</v>
      </c>
      <c r="B47" s="8" t="s">
        <v>139</v>
      </c>
      <c r="C47" s="9" t="s">
        <v>35</v>
      </c>
      <c r="D47" s="9" t="s">
        <v>45</v>
      </c>
      <c r="E47" s="10" t="s">
        <v>138</v>
      </c>
      <c r="F47" s="9" t="s">
        <v>129</v>
      </c>
      <c r="G47" s="11">
        <v>6000</v>
      </c>
      <c r="H47" s="12">
        <v>300</v>
      </c>
      <c r="I47" s="12">
        <v>300</v>
      </c>
      <c r="J47" s="13">
        <v>6600</v>
      </c>
      <c r="K47" s="14">
        <v>7000</v>
      </c>
      <c r="L47" s="36"/>
      <c r="M47" s="36"/>
    </row>
    <row r="48" spans="1:13" x14ac:dyDescent="0.3">
      <c r="A48" s="7">
        <v>47</v>
      </c>
      <c r="B48" s="8" t="s">
        <v>140</v>
      </c>
      <c r="C48" s="9" t="s">
        <v>35</v>
      </c>
      <c r="D48" s="9" t="s">
        <v>45</v>
      </c>
      <c r="E48" s="10" t="s">
        <v>141</v>
      </c>
      <c r="F48" s="9" t="s">
        <v>142</v>
      </c>
      <c r="G48" s="11">
        <v>12000</v>
      </c>
      <c r="H48" s="12">
        <v>600</v>
      </c>
      <c r="I48" s="12">
        <v>600</v>
      </c>
      <c r="J48" s="13">
        <v>13200</v>
      </c>
      <c r="K48" s="14">
        <v>13000</v>
      </c>
      <c r="L48" s="36"/>
      <c r="M48" s="36"/>
    </row>
    <row r="49" spans="1:13" x14ac:dyDescent="0.3">
      <c r="A49" s="7">
        <v>48</v>
      </c>
      <c r="B49" s="8" t="s">
        <v>143</v>
      </c>
      <c r="C49" s="9" t="s">
        <v>35</v>
      </c>
      <c r="D49" s="9" t="s">
        <v>45</v>
      </c>
      <c r="E49" s="10" t="s">
        <v>141</v>
      </c>
      <c r="F49" s="9" t="s">
        <v>129</v>
      </c>
      <c r="G49" s="11">
        <v>6000</v>
      </c>
      <c r="H49" s="12">
        <v>300</v>
      </c>
      <c r="I49" s="12">
        <v>300</v>
      </c>
      <c r="J49" s="13">
        <v>6600</v>
      </c>
      <c r="K49" s="14">
        <v>6600</v>
      </c>
      <c r="L49" s="36"/>
      <c r="M49" s="36"/>
    </row>
    <row r="50" spans="1:13" x14ac:dyDescent="0.3">
      <c r="A50" s="7">
        <v>49</v>
      </c>
      <c r="B50" s="8" t="s">
        <v>144</v>
      </c>
      <c r="C50" s="9" t="s">
        <v>18</v>
      </c>
      <c r="D50" s="9" t="s">
        <v>19</v>
      </c>
      <c r="E50" s="10" t="s">
        <v>145</v>
      </c>
      <c r="F50" s="9" t="s">
        <v>21</v>
      </c>
      <c r="G50" s="11">
        <v>2000</v>
      </c>
      <c r="H50" s="12">
        <v>100</v>
      </c>
      <c r="I50" s="12">
        <v>100</v>
      </c>
      <c r="J50" s="13">
        <v>2200</v>
      </c>
      <c r="K50" s="14">
        <v>2500</v>
      </c>
      <c r="L50" s="36"/>
      <c r="M50" s="36"/>
    </row>
    <row r="51" spans="1:13" x14ac:dyDescent="0.3">
      <c r="A51" s="7">
        <v>50</v>
      </c>
      <c r="B51" s="8" t="s">
        <v>146</v>
      </c>
      <c r="C51" s="9" t="s">
        <v>35</v>
      </c>
      <c r="D51" s="9" t="s">
        <v>31</v>
      </c>
      <c r="E51" s="10" t="s">
        <v>147</v>
      </c>
      <c r="F51" s="9" t="s">
        <v>72</v>
      </c>
      <c r="G51" s="11">
        <v>4000</v>
      </c>
      <c r="H51" s="12">
        <v>200</v>
      </c>
      <c r="I51" s="12">
        <v>200</v>
      </c>
      <c r="J51" s="13">
        <v>4400</v>
      </c>
      <c r="K51" s="14">
        <v>4500</v>
      </c>
      <c r="L51" s="36"/>
      <c r="M51" s="36"/>
    </row>
    <row r="52" spans="1:13" x14ac:dyDescent="0.3">
      <c r="A52" s="7">
        <v>51</v>
      </c>
      <c r="B52" s="8" t="s">
        <v>148</v>
      </c>
      <c r="C52" s="9" t="s">
        <v>11</v>
      </c>
      <c r="D52" s="9" t="s">
        <v>149</v>
      </c>
      <c r="E52" s="10" t="s">
        <v>150</v>
      </c>
      <c r="F52" s="9" t="s">
        <v>151</v>
      </c>
      <c r="G52" s="11">
        <v>3000</v>
      </c>
      <c r="H52" s="12">
        <v>150</v>
      </c>
      <c r="I52" s="12">
        <v>150</v>
      </c>
      <c r="J52" s="13">
        <v>3300</v>
      </c>
      <c r="K52" s="14">
        <v>3300</v>
      </c>
      <c r="L52" s="36"/>
      <c r="M52" s="36"/>
    </row>
    <row r="53" spans="1:13" x14ac:dyDescent="0.3">
      <c r="A53" s="7">
        <v>52</v>
      </c>
      <c r="B53" s="8" t="s">
        <v>152</v>
      </c>
      <c r="C53" s="9" t="s">
        <v>11</v>
      </c>
      <c r="D53" s="9" t="s">
        <v>79</v>
      </c>
      <c r="E53" s="10" t="s">
        <v>153</v>
      </c>
      <c r="F53" s="9" t="s">
        <v>154</v>
      </c>
      <c r="G53" s="11">
        <v>5000</v>
      </c>
      <c r="H53" s="12">
        <v>250</v>
      </c>
      <c r="I53" s="12">
        <v>250</v>
      </c>
      <c r="J53" s="13">
        <v>5500</v>
      </c>
      <c r="K53" s="14">
        <v>5500</v>
      </c>
      <c r="L53" s="36"/>
      <c r="M53" s="36"/>
    </row>
    <row r="54" spans="1:13" x14ac:dyDescent="0.3">
      <c r="A54" s="7">
        <v>53</v>
      </c>
      <c r="B54" s="8" t="s">
        <v>155</v>
      </c>
      <c r="C54" s="9" t="s">
        <v>35</v>
      </c>
      <c r="D54" s="9" t="s">
        <v>42</v>
      </c>
      <c r="E54" s="10" t="s">
        <v>156</v>
      </c>
      <c r="F54" s="9" t="s">
        <v>37</v>
      </c>
      <c r="G54" s="11">
        <v>4000</v>
      </c>
      <c r="H54" s="12">
        <v>200</v>
      </c>
      <c r="I54" s="12">
        <v>200</v>
      </c>
      <c r="J54" s="13">
        <v>4400</v>
      </c>
      <c r="K54" s="14">
        <v>4500</v>
      </c>
      <c r="L54" s="36"/>
      <c r="M54" s="36"/>
    </row>
    <row r="55" spans="1:13" x14ac:dyDescent="0.3">
      <c r="A55" s="7">
        <v>54</v>
      </c>
      <c r="B55" s="8" t="s">
        <v>157</v>
      </c>
      <c r="C55" s="9" t="s">
        <v>35</v>
      </c>
      <c r="D55" s="9" t="s">
        <v>42</v>
      </c>
      <c r="E55" s="10" t="s">
        <v>156</v>
      </c>
      <c r="F55" s="9" t="s">
        <v>77</v>
      </c>
      <c r="G55" s="11">
        <v>7500</v>
      </c>
      <c r="H55" s="12">
        <v>375</v>
      </c>
      <c r="I55" s="12">
        <v>375</v>
      </c>
      <c r="J55" s="13">
        <v>8250</v>
      </c>
      <c r="K55" s="14">
        <v>8500</v>
      </c>
      <c r="L55" s="36"/>
      <c r="M55" s="36"/>
    </row>
    <row r="56" spans="1:13" x14ac:dyDescent="0.3">
      <c r="A56" s="7">
        <v>55</v>
      </c>
      <c r="B56" s="8" t="s">
        <v>158</v>
      </c>
      <c r="C56" s="9" t="s">
        <v>35</v>
      </c>
      <c r="D56" s="9" t="s">
        <v>42</v>
      </c>
      <c r="E56" s="10" t="s">
        <v>156</v>
      </c>
      <c r="F56" s="9" t="s">
        <v>107</v>
      </c>
      <c r="G56" s="11">
        <v>14000</v>
      </c>
      <c r="H56" s="12">
        <v>700</v>
      </c>
      <c r="I56" s="12">
        <v>700</v>
      </c>
      <c r="J56" s="13">
        <v>15400</v>
      </c>
      <c r="K56" s="14">
        <v>16500</v>
      </c>
      <c r="L56" s="36"/>
      <c r="M56" s="36"/>
    </row>
    <row r="57" spans="1:13" ht="57.6" x14ac:dyDescent="0.3">
      <c r="A57" s="7">
        <v>56</v>
      </c>
      <c r="B57" s="19" t="s">
        <v>159</v>
      </c>
      <c r="C57" s="20" t="s">
        <v>35</v>
      </c>
      <c r="D57" s="20" t="s">
        <v>42</v>
      </c>
      <c r="E57" s="21" t="s">
        <v>160</v>
      </c>
      <c r="F57" s="20" t="s">
        <v>107</v>
      </c>
      <c r="G57" s="22">
        <v>17000</v>
      </c>
      <c r="H57" s="23">
        <v>850</v>
      </c>
      <c r="I57" s="23">
        <v>850</v>
      </c>
      <c r="J57" s="24">
        <v>18700</v>
      </c>
      <c r="K57" s="25">
        <v>18700</v>
      </c>
      <c r="L57" s="36"/>
      <c r="M57" s="36"/>
    </row>
    <row r="58" spans="1:13" ht="57.6" x14ac:dyDescent="0.3">
      <c r="A58" s="7">
        <v>57</v>
      </c>
      <c r="B58" s="19" t="s">
        <v>161</v>
      </c>
      <c r="C58" s="20" t="s">
        <v>35</v>
      </c>
      <c r="D58" s="20" t="s">
        <v>42</v>
      </c>
      <c r="E58" s="21" t="s">
        <v>162</v>
      </c>
      <c r="F58" s="20" t="s">
        <v>163</v>
      </c>
      <c r="G58" s="22">
        <v>32000</v>
      </c>
      <c r="H58" s="23">
        <v>1600</v>
      </c>
      <c r="I58" s="23">
        <v>1600</v>
      </c>
      <c r="J58" s="24">
        <v>35200</v>
      </c>
      <c r="K58" s="25">
        <v>35200</v>
      </c>
      <c r="L58" s="36"/>
      <c r="M58" s="36"/>
    </row>
    <row r="59" spans="1:13" x14ac:dyDescent="0.3">
      <c r="A59" s="7">
        <v>58</v>
      </c>
      <c r="B59" s="8" t="s">
        <v>164</v>
      </c>
      <c r="C59" s="9" t="s">
        <v>89</v>
      </c>
      <c r="D59" s="9" t="s">
        <v>42</v>
      </c>
      <c r="E59" s="10" t="s">
        <v>165</v>
      </c>
      <c r="F59" s="9" t="s">
        <v>166</v>
      </c>
      <c r="G59" s="11">
        <v>2500</v>
      </c>
      <c r="H59" s="12">
        <v>125</v>
      </c>
      <c r="I59" s="12">
        <v>125</v>
      </c>
      <c r="J59" s="13">
        <v>2750</v>
      </c>
      <c r="K59" s="14">
        <v>3000</v>
      </c>
      <c r="L59" s="36"/>
      <c r="M59" s="36"/>
    </row>
    <row r="60" spans="1:13" x14ac:dyDescent="0.3">
      <c r="A60" s="7">
        <v>59</v>
      </c>
      <c r="B60" s="8" t="s">
        <v>167</v>
      </c>
      <c r="C60" s="9" t="s">
        <v>35</v>
      </c>
      <c r="D60" s="9" t="s">
        <v>31</v>
      </c>
      <c r="E60" s="10" t="s">
        <v>168</v>
      </c>
      <c r="F60" s="9" t="s">
        <v>169</v>
      </c>
      <c r="G60" s="11">
        <v>6000</v>
      </c>
      <c r="H60" s="12">
        <v>300</v>
      </c>
      <c r="I60" s="12">
        <v>300</v>
      </c>
      <c r="J60" s="13">
        <v>6600</v>
      </c>
      <c r="K60" s="14">
        <v>6600</v>
      </c>
      <c r="L60" s="36"/>
      <c r="M60" s="36"/>
    </row>
    <row r="61" spans="1:13" x14ac:dyDescent="0.3">
      <c r="A61" s="7">
        <v>60</v>
      </c>
      <c r="B61" s="8" t="s">
        <v>170</v>
      </c>
      <c r="C61" s="9" t="s">
        <v>35</v>
      </c>
      <c r="D61" s="9" t="s">
        <v>31</v>
      </c>
      <c r="E61" s="10" t="s">
        <v>168</v>
      </c>
      <c r="F61" s="9" t="s">
        <v>171</v>
      </c>
      <c r="G61" s="11">
        <v>3000</v>
      </c>
      <c r="H61" s="12">
        <v>150</v>
      </c>
      <c r="I61" s="12">
        <v>150</v>
      </c>
      <c r="J61" s="13">
        <v>3300</v>
      </c>
      <c r="K61" s="14">
        <v>3300</v>
      </c>
      <c r="L61" s="36"/>
      <c r="M61" s="36"/>
    </row>
    <row r="62" spans="1:13" x14ac:dyDescent="0.3">
      <c r="A62" s="7">
        <v>61</v>
      </c>
      <c r="B62" s="8" t="s">
        <v>172</v>
      </c>
      <c r="C62" s="9" t="s">
        <v>11</v>
      </c>
      <c r="D62" s="9" t="s">
        <v>79</v>
      </c>
      <c r="E62" s="10" t="s">
        <v>173</v>
      </c>
      <c r="F62" s="9" t="s">
        <v>72</v>
      </c>
      <c r="G62" s="11">
        <v>3000</v>
      </c>
      <c r="H62" s="12">
        <v>150</v>
      </c>
      <c r="I62" s="12">
        <v>150</v>
      </c>
      <c r="J62" s="13">
        <v>3300</v>
      </c>
      <c r="K62" s="14">
        <v>3300</v>
      </c>
      <c r="L62" s="36"/>
      <c r="M62" s="36"/>
    </row>
    <row r="63" spans="1:13" x14ac:dyDescent="0.3">
      <c r="A63" s="7">
        <v>62</v>
      </c>
      <c r="B63" s="8" t="s">
        <v>174</v>
      </c>
      <c r="C63" s="9" t="s">
        <v>11</v>
      </c>
      <c r="D63" s="9" t="s">
        <v>79</v>
      </c>
      <c r="E63" s="10" t="s">
        <v>175</v>
      </c>
      <c r="F63" s="9" t="s">
        <v>176</v>
      </c>
      <c r="G63" s="11">
        <v>2500</v>
      </c>
      <c r="H63" s="12">
        <v>125</v>
      </c>
      <c r="I63" s="12">
        <v>125</v>
      </c>
      <c r="J63" s="13">
        <v>2750</v>
      </c>
      <c r="K63" s="14">
        <v>3000</v>
      </c>
      <c r="L63" s="36"/>
      <c r="M63" s="36"/>
    </row>
    <row r="64" spans="1:13" x14ac:dyDescent="0.3">
      <c r="A64" s="7">
        <v>63</v>
      </c>
      <c r="B64" s="8" t="s">
        <v>177</v>
      </c>
      <c r="C64" s="9" t="s">
        <v>11</v>
      </c>
      <c r="D64" s="9" t="s">
        <v>178</v>
      </c>
      <c r="E64" s="10" t="s">
        <v>179</v>
      </c>
      <c r="F64" s="9" t="s">
        <v>180</v>
      </c>
      <c r="G64" s="11">
        <v>27000</v>
      </c>
      <c r="H64" s="12">
        <v>1350</v>
      </c>
      <c r="I64" s="12">
        <v>1350</v>
      </c>
      <c r="J64" s="13">
        <v>29700</v>
      </c>
      <c r="K64" s="14">
        <v>28000</v>
      </c>
      <c r="L64" s="36"/>
      <c r="M64" s="36"/>
    </row>
    <row r="65" spans="1:13" x14ac:dyDescent="0.3">
      <c r="A65" s="7">
        <v>64</v>
      </c>
      <c r="B65" s="8" t="s">
        <v>181</v>
      </c>
      <c r="C65" s="9" t="s">
        <v>11</v>
      </c>
      <c r="D65" s="9" t="s">
        <v>178</v>
      </c>
      <c r="E65" s="10" t="s">
        <v>182</v>
      </c>
      <c r="F65" s="9" t="s">
        <v>180</v>
      </c>
      <c r="G65" s="11">
        <v>18000</v>
      </c>
      <c r="H65" s="12">
        <v>900</v>
      </c>
      <c r="I65" s="12">
        <v>900</v>
      </c>
      <c r="J65" s="13">
        <v>19800</v>
      </c>
      <c r="K65" s="14">
        <v>20000</v>
      </c>
      <c r="L65" s="36"/>
      <c r="M65" s="36"/>
    </row>
    <row r="66" spans="1:13" x14ac:dyDescent="0.3">
      <c r="A66" s="7">
        <v>65</v>
      </c>
      <c r="B66" s="8" t="s">
        <v>183</v>
      </c>
      <c r="C66" s="9" t="s">
        <v>11</v>
      </c>
      <c r="D66" s="9" t="s">
        <v>19</v>
      </c>
      <c r="E66" s="10" t="s">
        <v>184</v>
      </c>
      <c r="F66" s="9" t="s">
        <v>33</v>
      </c>
      <c r="G66" s="11">
        <v>2700</v>
      </c>
      <c r="H66" s="12">
        <v>135</v>
      </c>
      <c r="I66" s="12">
        <v>135</v>
      </c>
      <c r="J66" s="13">
        <v>2970</v>
      </c>
      <c r="K66" s="14">
        <v>3000</v>
      </c>
      <c r="L66" s="36"/>
      <c r="M66" s="36"/>
    </row>
    <row r="67" spans="1:13" x14ac:dyDescent="0.3">
      <c r="A67" s="7">
        <v>66</v>
      </c>
      <c r="B67" s="8" t="s">
        <v>185</v>
      </c>
      <c r="C67" s="9" t="s">
        <v>18</v>
      </c>
      <c r="D67" s="9" t="s">
        <v>19</v>
      </c>
      <c r="E67" s="10" t="s">
        <v>186</v>
      </c>
      <c r="F67" s="9" t="s">
        <v>121</v>
      </c>
      <c r="G67" s="11">
        <v>2500</v>
      </c>
      <c r="H67" s="12">
        <v>125</v>
      </c>
      <c r="I67" s="12">
        <v>125</v>
      </c>
      <c r="J67" s="13">
        <v>2750</v>
      </c>
      <c r="K67" s="14">
        <v>3000</v>
      </c>
      <c r="L67" s="36"/>
      <c r="M67" s="36"/>
    </row>
    <row r="68" spans="1:13" x14ac:dyDescent="0.3">
      <c r="A68" s="7">
        <v>67</v>
      </c>
      <c r="B68" s="8" t="s">
        <v>187</v>
      </c>
      <c r="C68" s="9" t="s">
        <v>18</v>
      </c>
      <c r="D68" s="9" t="s">
        <v>19</v>
      </c>
      <c r="E68" s="10" t="s">
        <v>188</v>
      </c>
      <c r="F68" s="9" t="s">
        <v>189</v>
      </c>
      <c r="G68" s="11">
        <v>2500</v>
      </c>
      <c r="H68" s="12">
        <v>125</v>
      </c>
      <c r="I68" s="12">
        <v>125</v>
      </c>
      <c r="J68" s="13">
        <v>2750</v>
      </c>
      <c r="K68" s="14">
        <v>3000</v>
      </c>
      <c r="L68" s="36"/>
      <c r="M68" s="36"/>
    </row>
    <row r="69" spans="1:13" x14ac:dyDescent="0.3">
      <c r="A69" s="7">
        <v>68</v>
      </c>
      <c r="B69" s="8" t="s">
        <v>190</v>
      </c>
      <c r="C69" s="9" t="s">
        <v>11</v>
      </c>
      <c r="D69" s="9" t="s">
        <v>31</v>
      </c>
      <c r="E69" s="10" t="s">
        <v>191</v>
      </c>
      <c r="F69" s="9" t="s">
        <v>192</v>
      </c>
      <c r="G69" s="11">
        <v>2900</v>
      </c>
      <c r="H69" s="12">
        <v>145</v>
      </c>
      <c r="I69" s="12">
        <v>145</v>
      </c>
      <c r="J69" s="13">
        <v>3190</v>
      </c>
      <c r="K69" s="14">
        <v>3500</v>
      </c>
      <c r="L69" s="36"/>
      <c r="M69" s="36"/>
    </row>
    <row r="70" spans="1:13" x14ac:dyDescent="0.3">
      <c r="A70" s="7">
        <v>69</v>
      </c>
      <c r="B70" s="8" t="s">
        <v>193</v>
      </c>
      <c r="C70" s="9" t="s">
        <v>11</v>
      </c>
      <c r="D70" s="9" t="s">
        <v>31</v>
      </c>
      <c r="E70" s="10" t="s">
        <v>191</v>
      </c>
      <c r="F70" s="9" t="s">
        <v>194</v>
      </c>
      <c r="G70" s="11">
        <v>1450</v>
      </c>
      <c r="H70" s="12">
        <f>G70*5%</f>
        <v>72.5</v>
      </c>
      <c r="I70" s="12">
        <f>G70*5%</f>
        <v>72.5</v>
      </c>
      <c r="J70" s="13">
        <f>G70+H70+I70</f>
        <v>1595</v>
      </c>
      <c r="K70" s="14">
        <v>1600</v>
      </c>
      <c r="L70" s="36"/>
      <c r="M70" s="36"/>
    </row>
    <row r="71" spans="1:13" x14ac:dyDescent="0.3">
      <c r="A71" s="7">
        <v>70</v>
      </c>
      <c r="B71" s="8" t="s">
        <v>195</v>
      </c>
      <c r="C71" s="9" t="s">
        <v>11</v>
      </c>
      <c r="D71" s="9" t="s">
        <v>31</v>
      </c>
      <c r="E71" s="10" t="s">
        <v>196</v>
      </c>
      <c r="F71" s="9" t="s">
        <v>169</v>
      </c>
      <c r="G71" s="11">
        <v>3000</v>
      </c>
      <c r="H71" s="12">
        <v>150</v>
      </c>
      <c r="I71" s="12">
        <v>150</v>
      </c>
      <c r="J71" s="13">
        <v>3300</v>
      </c>
      <c r="K71" s="14">
        <v>3500</v>
      </c>
      <c r="L71" s="36"/>
      <c r="M71" s="36"/>
    </row>
    <row r="72" spans="1:13" x14ac:dyDescent="0.3">
      <c r="A72" s="7">
        <v>71</v>
      </c>
      <c r="B72" s="8" t="s">
        <v>197</v>
      </c>
      <c r="C72" s="9" t="s">
        <v>11</v>
      </c>
      <c r="D72" s="9" t="s">
        <v>31</v>
      </c>
      <c r="E72" s="10" t="s">
        <v>196</v>
      </c>
      <c r="F72" s="9" t="s">
        <v>171</v>
      </c>
      <c r="G72" s="11">
        <v>1500</v>
      </c>
      <c r="H72" s="12">
        <v>75</v>
      </c>
      <c r="I72" s="12">
        <v>75</v>
      </c>
      <c r="J72" s="13">
        <v>1650</v>
      </c>
      <c r="K72" s="14">
        <v>2000</v>
      </c>
      <c r="L72" s="36"/>
      <c r="M72" s="36"/>
    </row>
    <row r="73" spans="1:13" x14ac:dyDescent="0.3">
      <c r="A73" s="7">
        <v>72</v>
      </c>
      <c r="B73" s="8" t="s">
        <v>198</v>
      </c>
      <c r="C73" s="9" t="s">
        <v>26</v>
      </c>
      <c r="D73" s="9" t="s">
        <v>31</v>
      </c>
      <c r="E73" s="10" t="s">
        <v>199</v>
      </c>
      <c r="F73" s="9" t="s">
        <v>169</v>
      </c>
      <c r="G73" s="11">
        <v>4000</v>
      </c>
      <c r="H73" s="12">
        <v>200</v>
      </c>
      <c r="I73" s="12">
        <v>200</v>
      </c>
      <c r="J73" s="13">
        <v>4400</v>
      </c>
      <c r="K73" s="14">
        <v>5000</v>
      </c>
      <c r="L73" s="36"/>
      <c r="M73" s="36"/>
    </row>
    <row r="74" spans="1:13" x14ac:dyDescent="0.3">
      <c r="A74" s="7">
        <v>73</v>
      </c>
      <c r="B74" s="8" t="s">
        <v>200</v>
      </c>
      <c r="C74" s="9" t="s">
        <v>26</v>
      </c>
      <c r="D74" s="9" t="s">
        <v>31</v>
      </c>
      <c r="E74" s="10" t="s">
        <v>199</v>
      </c>
      <c r="F74" s="9" t="s">
        <v>171</v>
      </c>
      <c r="G74" s="11">
        <v>2000</v>
      </c>
      <c r="H74" s="12">
        <v>100</v>
      </c>
      <c r="I74" s="12">
        <v>100</v>
      </c>
      <c r="J74" s="13">
        <v>2500</v>
      </c>
      <c r="K74" s="14">
        <v>2500</v>
      </c>
      <c r="L74" s="36"/>
      <c r="M74" s="36"/>
    </row>
    <row r="75" spans="1:13" x14ac:dyDescent="0.3">
      <c r="A75" s="7">
        <v>74</v>
      </c>
      <c r="B75" s="8" t="s">
        <v>201</v>
      </c>
      <c r="C75" s="9" t="s">
        <v>18</v>
      </c>
      <c r="D75" s="9" t="s">
        <v>49</v>
      </c>
      <c r="E75" s="10" t="s">
        <v>202</v>
      </c>
      <c r="F75" s="9" t="s">
        <v>77</v>
      </c>
      <c r="G75" s="11">
        <v>2000</v>
      </c>
      <c r="H75" s="12">
        <v>100</v>
      </c>
      <c r="I75" s="12">
        <v>100</v>
      </c>
      <c r="J75" s="13">
        <v>2200</v>
      </c>
      <c r="K75" s="14">
        <v>2300</v>
      </c>
      <c r="L75" s="36"/>
      <c r="M75" s="36"/>
    </row>
    <row r="76" spans="1:13" x14ac:dyDescent="0.3">
      <c r="A76" s="7">
        <v>75</v>
      </c>
      <c r="B76" s="8" t="s">
        <v>203</v>
      </c>
      <c r="C76" s="9" t="s">
        <v>89</v>
      </c>
      <c r="D76" s="9" t="s">
        <v>149</v>
      </c>
      <c r="E76" s="10" t="s">
        <v>204</v>
      </c>
      <c r="F76" s="9" t="s">
        <v>205</v>
      </c>
      <c r="G76" s="11">
        <v>16000</v>
      </c>
      <c r="H76" s="12">
        <v>800</v>
      </c>
      <c r="I76" s="12">
        <v>800</v>
      </c>
      <c r="J76" s="13">
        <v>17600</v>
      </c>
      <c r="K76" s="14">
        <v>18000</v>
      </c>
      <c r="L76" s="36"/>
      <c r="M76" s="36"/>
    </row>
    <row r="77" spans="1:13" ht="28.8" x14ac:dyDescent="0.3">
      <c r="A77" s="7">
        <v>76</v>
      </c>
      <c r="B77" s="19" t="s">
        <v>206</v>
      </c>
      <c r="C77" s="20" t="s">
        <v>35</v>
      </c>
      <c r="D77" s="20" t="s">
        <v>42</v>
      </c>
      <c r="E77" s="21" t="s">
        <v>207</v>
      </c>
      <c r="F77" s="20" t="s">
        <v>208</v>
      </c>
      <c r="G77" s="22">
        <v>25000</v>
      </c>
      <c r="H77" s="23">
        <v>1250</v>
      </c>
      <c r="I77" s="23">
        <v>1250</v>
      </c>
      <c r="J77" s="24">
        <v>27500</v>
      </c>
      <c r="K77" s="25">
        <v>27500</v>
      </c>
      <c r="L77" s="36"/>
      <c r="M77" s="36"/>
    </row>
    <row r="78" spans="1:13" x14ac:dyDescent="0.3">
      <c r="A78" s="7">
        <v>77</v>
      </c>
      <c r="B78" s="8" t="s">
        <v>209</v>
      </c>
      <c r="C78" s="9" t="s">
        <v>11</v>
      </c>
      <c r="D78" s="9" t="s">
        <v>31</v>
      </c>
      <c r="E78" s="10" t="s">
        <v>210</v>
      </c>
      <c r="F78" s="9" t="s">
        <v>192</v>
      </c>
      <c r="G78" s="11">
        <v>3000</v>
      </c>
      <c r="H78" s="12">
        <v>150</v>
      </c>
      <c r="I78" s="12">
        <v>150</v>
      </c>
      <c r="J78" s="13">
        <v>3300</v>
      </c>
      <c r="K78" s="14">
        <v>4000</v>
      </c>
      <c r="L78" s="36"/>
      <c r="M78" s="36"/>
    </row>
    <row r="79" spans="1:13" x14ac:dyDescent="0.3">
      <c r="A79" s="7">
        <v>78</v>
      </c>
      <c r="B79" s="8" t="s">
        <v>211</v>
      </c>
      <c r="C79" s="9" t="s">
        <v>11</v>
      </c>
      <c r="D79" s="9" t="s">
        <v>31</v>
      </c>
      <c r="E79" s="10" t="s">
        <v>210</v>
      </c>
      <c r="F79" s="9" t="s">
        <v>171</v>
      </c>
      <c r="G79" s="11">
        <v>1500</v>
      </c>
      <c r="H79" s="12">
        <v>75</v>
      </c>
      <c r="I79" s="12">
        <v>75</v>
      </c>
      <c r="J79" s="13">
        <v>1650</v>
      </c>
      <c r="K79" s="14">
        <v>2000</v>
      </c>
      <c r="L79" s="36"/>
      <c r="M79" s="36"/>
    </row>
    <row r="80" spans="1:13" x14ac:dyDescent="0.3">
      <c r="A80" s="7">
        <v>79</v>
      </c>
      <c r="B80" s="8" t="s">
        <v>212</v>
      </c>
      <c r="C80" s="9" t="s">
        <v>89</v>
      </c>
      <c r="D80" s="9" t="s">
        <v>213</v>
      </c>
      <c r="E80" s="10" t="s">
        <v>214</v>
      </c>
      <c r="F80" s="9" t="s">
        <v>189</v>
      </c>
      <c r="G80" s="11">
        <v>5000</v>
      </c>
      <c r="H80" s="12">
        <v>250</v>
      </c>
      <c r="I80" s="12">
        <v>250</v>
      </c>
      <c r="J80" s="13">
        <v>5500</v>
      </c>
      <c r="K80" s="14">
        <v>6000</v>
      </c>
      <c r="L80" s="36"/>
      <c r="M80" s="36"/>
    </row>
    <row r="81" spans="1:13" x14ac:dyDescent="0.3">
      <c r="A81" s="7">
        <v>80</v>
      </c>
      <c r="B81" s="8" t="s">
        <v>215</v>
      </c>
      <c r="C81" s="9" t="s">
        <v>89</v>
      </c>
      <c r="D81" s="9" t="s">
        <v>213</v>
      </c>
      <c r="E81" s="10" t="s">
        <v>214</v>
      </c>
      <c r="F81" s="9" t="s">
        <v>21</v>
      </c>
      <c r="G81" s="11">
        <v>10000</v>
      </c>
      <c r="H81" s="12">
        <v>500</v>
      </c>
      <c r="I81" s="12">
        <v>500</v>
      </c>
      <c r="J81" s="13">
        <v>11000</v>
      </c>
      <c r="K81" s="14">
        <v>12000</v>
      </c>
      <c r="L81" s="36"/>
      <c r="M81" s="36"/>
    </row>
    <row r="82" spans="1:13" x14ac:dyDescent="0.3">
      <c r="A82" s="7">
        <v>81</v>
      </c>
      <c r="B82" s="8" t="s">
        <v>216</v>
      </c>
      <c r="C82" s="9" t="s">
        <v>89</v>
      </c>
      <c r="D82" s="9" t="s">
        <v>213</v>
      </c>
      <c r="E82" s="10" t="s">
        <v>214</v>
      </c>
      <c r="F82" s="9" t="s">
        <v>65</v>
      </c>
      <c r="G82" s="11">
        <v>20000</v>
      </c>
      <c r="H82" s="12">
        <v>1000</v>
      </c>
      <c r="I82" s="12">
        <v>1000</v>
      </c>
      <c r="J82" s="13">
        <v>22000</v>
      </c>
      <c r="K82" s="14">
        <v>22000</v>
      </c>
      <c r="L82" s="36"/>
      <c r="M82" s="36"/>
    </row>
    <row r="83" spans="1:13" x14ac:dyDescent="0.3">
      <c r="A83" s="7">
        <v>82</v>
      </c>
      <c r="B83" s="8" t="s">
        <v>217</v>
      </c>
      <c r="C83" s="9" t="s">
        <v>89</v>
      </c>
      <c r="D83" s="9" t="s">
        <v>149</v>
      </c>
      <c r="E83" s="10" t="s">
        <v>218</v>
      </c>
      <c r="F83" s="9" t="s">
        <v>219</v>
      </c>
      <c r="G83" s="11">
        <v>4500</v>
      </c>
      <c r="H83" s="12">
        <v>225</v>
      </c>
      <c r="I83" s="12">
        <v>225</v>
      </c>
      <c r="J83" s="13">
        <v>4950</v>
      </c>
      <c r="K83" s="14">
        <v>5000</v>
      </c>
      <c r="L83" s="36"/>
      <c r="M83" s="36"/>
    </row>
    <row r="84" spans="1:13" x14ac:dyDescent="0.3">
      <c r="A84" s="7">
        <v>83</v>
      </c>
      <c r="B84" s="8" t="s">
        <v>220</v>
      </c>
      <c r="C84" s="9" t="s">
        <v>89</v>
      </c>
      <c r="D84" s="9" t="s">
        <v>149</v>
      </c>
      <c r="E84" s="10" t="s">
        <v>221</v>
      </c>
      <c r="F84" s="9" t="s">
        <v>21</v>
      </c>
      <c r="G84" s="11">
        <v>5000</v>
      </c>
      <c r="H84" s="12">
        <v>250</v>
      </c>
      <c r="I84" s="12">
        <v>250</v>
      </c>
      <c r="J84" s="13">
        <v>5500</v>
      </c>
      <c r="K84" s="14">
        <v>6000</v>
      </c>
      <c r="L84" s="36"/>
      <c r="M84" s="36"/>
    </row>
    <row r="85" spans="1:13" x14ac:dyDescent="0.3">
      <c r="A85" s="7">
        <v>84</v>
      </c>
      <c r="B85" s="8" t="s">
        <v>222</v>
      </c>
      <c r="C85" s="9" t="s">
        <v>89</v>
      </c>
      <c r="D85" s="9" t="s">
        <v>149</v>
      </c>
      <c r="E85" s="10" t="s">
        <v>221</v>
      </c>
      <c r="F85" s="9" t="s">
        <v>223</v>
      </c>
      <c r="G85" s="11">
        <v>3500</v>
      </c>
      <c r="H85" s="12">
        <v>175</v>
      </c>
      <c r="I85" s="12">
        <v>175</v>
      </c>
      <c r="J85" s="13">
        <v>3850</v>
      </c>
      <c r="K85" s="14">
        <v>4000</v>
      </c>
      <c r="L85" s="36"/>
      <c r="M85" s="36"/>
    </row>
    <row r="86" spans="1:13" x14ac:dyDescent="0.3">
      <c r="A86" s="7">
        <v>85</v>
      </c>
      <c r="B86" s="8" t="s">
        <v>224</v>
      </c>
      <c r="C86" s="9" t="s">
        <v>18</v>
      </c>
      <c r="D86" s="9" t="s">
        <v>225</v>
      </c>
      <c r="E86" s="10" t="s">
        <v>226</v>
      </c>
      <c r="F86" s="9" t="s">
        <v>81</v>
      </c>
      <c r="G86" s="11">
        <v>3000</v>
      </c>
      <c r="H86" s="12">
        <v>150</v>
      </c>
      <c r="I86" s="12">
        <v>150</v>
      </c>
      <c r="J86" s="13">
        <v>3300</v>
      </c>
      <c r="K86" s="14">
        <v>3500</v>
      </c>
      <c r="L86" s="36"/>
      <c r="M86" s="36"/>
    </row>
    <row r="87" spans="1:13" x14ac:dyDescent="0.3">
      <c r="A87" s="7">
        <v>86</v>
      </c>
      <c r="B87" s="8" t="s">
        <v>227</v>
      </c>
      <c r="C87" s="9" t="s">
        <v>18</v>
      </c>
      <c r="D87" s="9" t="s">
        <v>19</v>
      </c>
      <c r="E87" s="10" t="s">
        <v>228</v>
      </c>
      <c r="F87" s="9" t="s">
        <v>107</v>
      </c>
      <c r="G87" s="11">
        <v>1500</v>
      </c>
      <c r="H87" s="12">
        <v>75</v>
      </c>
      <c r="I87" s="12">
        <v>75</v>
      </c>
      <c r="J87" s="13">
        <v>1650</v>
      </c>
      <c r="K87" s="14">
        <v>1800</v>
      </c>
      <c r="L87" s="36"/>
      <c r="M87" s="36"/>
    </row>
    <row r="88" spans="1:13" x14ac:dyDescent="0.3">
      <c r="A88" s="7">
        <v>87</v>
      </c>
      <c r="B88" s="8" t="s">
        <v>229</v>
      </c>
      <c r="C88" s="9" t="s">
        <v>230</v>
      </c>
      <c r="D88" s="9" t="s">
        <v>31</v>
      </c>
      <c r="E88" s="10" t="s">
        <v>231</v>
      </c>
      <c r="F88" s="9" t="s">
        <v>62</v>
      </c>
      <c r="G88" s="11">
        <v>2000</v>
      </c>
      <c r="H88" s="12">
        <v>100</v>
      </c>
      <c r="I88" s="12">
        <v>100</v>
      </c>
      <c r="J88" s="13">
        <v>2200</v>
      </c>
      <c r="K88" s="14">
        <v>2000</v>
      </c>
      <c r="L88" s="36"/>
      <c r="M88" s="36"/>
    </row>
    <row r="89" spans="1:13" x14ac:dyDescent="0.3">
      <c r="A89" s="7">
        <v>88</v>
      </c>
      <c r="B89" s="8" t="s">
        <v>232</v>
      </c>
      <c r="C89" s="9" t="s">
        <v>230</v>
      </c>
      <c r="D89" s="9" t="s">
        <v>31</v>
      </c>
      <c r="E89" s="10" t="s">
        <v>231</v>
      </c>
      <c r="F89" s="9" t="s">
        <v>60</v>
      </c>
      <c r="G89" s="11">
        <v>5000</v>
      </c>
      <c r="H89" s="12">
        <v>250</v>
      </c>
      <c r="I89" s="12">
        <v>250</v>
      </c>
      <c r="J89" s="13">
        <v>5500</v>
      </c>
      <c r="K89" s="14">
        <v>6000</v>
      </c>
      <c r="L89" s="36"/>
      <c r="M89" s="36"/>
    </row>
    <row r="90" spans="1:13" x14ac:dyDescent="0.3">
      <c r="A90" s="7">
        <v>89</v>
      </c>
      <c r="B90" s="8" t="s">
        <v>233</v>
      </c>
      <c r="C90" s="9" t="s">
        <v>35</v>
      </c>
      <c r="D90" s="9" t="s">
        <v>31</v>
      </c>
      <c r="E90" s="10" t="s">
        <v>231</v>
      </c>
      <c r="F90" s="9" t="s">
        <v>60</v>
      </c>
      <c r="G90" s="11">
        <v>6000</v>
      </c>
      <c r="H90" s="12">
        <v>300</v>
      </c>
      <c r="I90" s="12">
        <v>300</v>
      </c>
      <c r="J90" s="13">
        <v>6600</v>
      </c>
      <c r="K90" s="14">
        <v>6000</v>
      </c>
      <c r="L90" s="36"/>
      <c r="M90" s="36"/>
    </row>
    <row r="91" spans="1:13" x14ac:dyDescent="0.3">
      <c r="A91" s="7">
        <v>90</v>
      </c>
      <c r="B91" s="8" t="s">
        <v>234</v>
      </c>
      <c r="C91" s="9" t="s">
        <v>35</v>
      </c>
      <c r="D91" s="9" t="s">
        <v>31</v>
      </c>
      <c r="E91" s="10" t="s">
        <v>231</v>
      </c>
      <c r="F91" s="9" t="s">
        <v>62</v>
      </c>
      <c r="G91" s="11">
        <v>3000</v>
      </c>
      <c r="H91" s="12">
        <v>150</v>
      </c>
      <c r="I91" s="12">
        <v>150</v>
      </c>
      <c r="J91" s="13">
        <v>3300</v>
      </c>
      <c r="K91" s="14">
        <v>3000</v>
      </c>
      <c r="L91" s="36"/>
      <c r="M91" s="36"/>
    </row>
    <row r="92" spans="1:13" x14ac:dyDescent="0.3">
      <c r="A92" s="7">
        <v>91</v>
      </c>
      <c r="B92" s="8" t="s">
        <v>235</v>
      </c>
      <c r="C92" s="9" t="s">
        <v>35</v>
      </c>
      <c r="D92" s="9" t="s">
        <v>31</v>
      </c>
      <c r="E92" s="10" t="s">
        <v>236</v>
      </c>
      <c r="F92" s="9" t="s">
        <v>60</v>
      </c>
      <c r="G92" s="11">
        <v>6000</v>
      </c>
      <c r="H92" s="12">
        <v>300</v>
      </c>
      <c r="I92" s="12">
        <v>300</v>
      </c>
      <c r="J92" s="13">
        <v>6600</v>
      </c>
      <c r="K92" s="14">
        <v>7000</v>
      </c>
      <c r="L92" s="36"/>
      <c r="M92" s="36"/>
    </row>
    <row r="93" spans="1:13" x14ac:dyDescent="0.3">
      <c r="A93" s="7">
        <v>92</v>
      </c>
      <c r="B93" s="8" t="s">
        <v>237</v>
      </c>
      <c r="C93" s="9" t="s">
        <v>35</v>
      </c>
      <c r="D93" s="9" t="s">
        <v>31</v>
      </c>
      <c r="E93" s="10" t="s">
        <v>236</v>
      </c>
      <c r="F93" s="9" t="s">
        <v>62</v>
      </c>
      <c r="G93" s="11">
        <v>3000</v>
      </c>
      <c r="H93" s="12">
        <v>150</v>
      </c>
      <c r="I93" s="12">
        <v>150</v>
      </c>
      <c r="J93" s="13">
        <v>3300</v>
      </c>
      <c r="K93" s="14">
        <v>3500</v>
      </c>
      <c r="L93" s="36"/>
      <c r="M93" s="36"/>
    </row>
    <row r="94" spans="1:13" x14ac:dyDescent="0.3">
      <c r="A94" s="7">
        <v>93</v>
      </c>
      <c r="B94" s="8" t="s">
        <v>238</v>
      </c>
      <c r="C94" s="9" t="s">
        <v>89</v>
      </c>
      <c r="D94" s="9" t="s">
        <v>49</v>
      </c>
      <c r="E94" s="10" t="s">
        <v>239</v>
      </c>
      <c r="F94" s="9" t="s">
        <v>104</v>
      </c>
      <c r="G94" s="11">
        <v>2000</v>
      </c>
      <c r="H94" s="12">
        <v>100</v>
      </c>
      <c r="I94" s="12">
        <v>100</v>
      </c>
      <c r="J94" s="13">
        <v>2200</v>
      </c>
      <c r="K94" s="14">
        <v>2500</v>
      </c>
      <c r="L94" s="36"/>
      <c r="M94" s="36"/>
    </row>
    <row r="95" spans="1:13" x14ac:dyDescent="0.3">
      <c r="A95" s="7">
        <v>94</v>
      </c>
      <c r="B95" s="8" t="s">
        <v>240</v>
      </c>
      <c r="C95" s="9" t="s">
        <v>11</v>
      </c>
      <c r="D95" s="9" t="s">
        <v>119</v>
      </c>
      <c r="E95" s="10" t="s">
        <v>241</v>
      </c>
      <c r="F95" s="9" t="s">
        <v>33</v>
      </c>
      <c r="G95" s="11">
        <v>8000</v>
      </c>
      <c r="H95" s="12">
        <f>G95*5%</f>
        <v>400</v>
      </c>
      <c r="I95" s="12">
        <f>G95*5%</f>
        <v>400</v>
      </c>
      <c r="J95" s="13">
        <f>G95+H95+I95</f>
        <v>8800</v>
      </c>
      <c r="K95" s="14">
        <v>9000</v>
      </c>
      <c r="L95" s="36"/>
      <c r="M95" s="36"/>
    </row>
    <row r="96" spans="1:13" x14ac:dyDescent="0.3">
      <c r="A96" s="7">
        <v>95</v>
      </c>
      <c r="B96" s="8" t="s">
        <v>242</v>
      </c>
      <c r="C96" s="9" t="s">
        <v>11</v>
      </c>
      <c r="D96" s="9" t="s">
        <v>19</v>
      </c>
      <c r="E96" s="10" t="s">
        <v>243</v>
      </c>
      <c r="F96" s="9" t="s">
        <v>244</v>
      </c>
      <c r="G96" s="11">
        <v>2700</v>
      </c>
      <c r="H96" s="12">
        <v>135</v>
      </c>
      <c r="I96" s="12">
        <v>135</v>
      </c>
      <c r="J96" s="13">
        <v>2970</v>
      </c>
      <c r="K96" s="14">
        <v>3000</v>
      </c>
      <c r="L96" s="36"/>
      <c r="M96" s="36"/>
    </row>
    <row r="97" spans="1:13" x14ac:dyDescent="0.3">
      <c r="A97" s="7">
        <v>96</v>
      </c>
      <c r="B97" s="8" t="s">
        <v>245</v>
      </c>
      <c r="C97" s="9" t="s">
        <v>18</v>
      </c>
      <c r="D97" s="9" t="s">
        <v>19</v>
      </c>
      <c r="E97" s="10" t="s">
        <v>246</v>
      </c>
      <c r="F97" s="9" t="s">
        <v>65</v>
      </c>
      <c r="G97" s="11">
        <v>2500</v>
      </c>
      <c r="H97" s="12">
        <v>125</v>
      </c>
      <c r="I97" s="12">
        <v>125</v>
      </c>
      <c r="J97" s="13">
        <v>2750</v>
      </c>
      <c r="K97" s="14">
        <v>3000</v>
      </c>
      <c r="L97" s="36"/>
      <c r="M97" s="36"/>
    </row>
    <row r="98" spans="1:13" x14ac:dyDescent="0.3">
      <c r="A98" s="7">
        <v>97</v>
      </c>
      <c r="B98" s="8" t="s">
        <v>247</v>
      </c>
      <c r="C98" s="9" t="s">
        <v>35</v>
      </c>
      <c r="D98" s="9" t="s">
        <v>12</v>
      </c>
      <c r="E98" s="10" t="s">
        <v>248</v>
      </c>
      <c r="F98" s="9" t="s">
        <v>249</v>
      </c>
      <c r="G98" s="11">
        <v>18000</v>
      </c>
      <c r="H98" s="12">
        <v>900</v>
      </c>
      <c r="I98" s="12">
        <v>900</v>
      </c>
      <c r="J98" s="13">
        <v>19800</v>
      </c>
      <c r="K98" s="14">
        <v>19800</v>
      </c>
      <c r="L98" s="36"/>
      <c r="M98" s="36"/>
    </row>
    <row r="99" spans="1:13" x14ac:dyDescent="0.3">
      <c r="A99" s="7">
        <v>98</v>
      </c>
      <c r="B99" s="8" t="s">
        <v>250</v>
      </c>
      <c r="C99" s="9" t="s">
        <v>35</v>
      </c>
      <c r="D99" s="9" t="s">
        <v>12</v>
      </c>
      <c r="E99" s="10" t="s">
        <v>248</v>
      </c>
      <c r="F99" s="9" t="s">
        <v>136</v>
      </c>
      <c r="G99" s="11">
        <v>9000</v>
      </c>
      <c r="H99" s="12">
        <v>450</v>
      </c>
      <c r="I99" s="12">
        <v>450</v>
      </c>
      <c r="J99" s="13">
        <v>9900</v>
      </c>
      <c r="K99" s="14">
        <v>10000</v>
      </c>
      <c r="L99" s="36"/>
      <c r="M99" s="36"/>
    </row>
    <row r="100" spans="1:13" x14ac:dyDescent="0.3">
      <c r="A100" s="7">
        <v>99</v>
      </c>
      <c r="B100" s="8" t="s">
        <v>251</v>
      </c>
      <c r="C100" s="9" t="s">
        <v>89</v>
      </c>
      <c r="D100" s="9" t="s">
        <v>42</v>
      </c>
      <c r="E100" s="10" t="s">
        <v>252</v>
      </c>
      <c r="F100" s="9" t="s">
        <v>253</v>
      </c>
      <c r="G100" s="11">
        <v>2500</v>
      </c>
      <c r="H100" s="12">
        <v>125</v>
      </c>
      <c r="I100" s="12">
        <v>125</v>
      </c>
      <c r="J100" s="13">
        <v>2750</v>
      </c>
      <c r="K100" s="14">
        <v>3000</v>
      </c>
      <c r="L100" s="36"/>
      <c r="M100" s="36"/>
    </row>
    <row r="101" spans="1:13" x14ac:dyDescent="0.3">
      <c r="A101" s="7">
        <v>100</v>
      </c>
      <c r="B101" s="8" t="s">
        <v>254</v>
      </c>
      <c r="C101" s="9" t="s">
        <v>89</v>
      </c>
      <c r="D101" s="9" t="s">
        <v>42</v>
      </c>
      <c r="E101" s="10" t="s">
        <v>255</v>
      </c>
      <c r="F101" s="9" t="s">
        <v>253</v>
      </c>
      <c r="G101" s="11">
        <v>2500</v>
      </c>
      <c r="H101" s="12">
        <v>125</v>
      </c>
      <c r="I101" s="12">
        <v>125</v>
      </c>
      <c r="J101" s="13">
        <v>2750</v>
      </c>
      <c r="K101" s="14">
        <v>3000</v>
      </c>
      <c r="L101" s="36"/>
      <c r="M101" s="36"/>
    </row>
    <row r="102" spans="1:13" x14ac:dyDescent="0.3">
      <c r="A102" s="7">
        <v>101</v>
      </c>
      <c r="B102" s="8" t="s">
        <v>256</v>
      </c>
      <c r="C102" s="9" t="s">
        <v>89</v>
      </c>
      <c r="D102" s="9" t="s">
        <v>42</v>
      </c>
      <c r="E102" s="10" t="s">
        <v>257</v>
      </c>
      <c r="F102" s="9" t="s">
        <v>253</v>
      </c>
      <c r="G102" s="11">
        <v>2500</v>
      </c>
      <c r="H102" s="12">
        <v>125</v>
      </c>
      <c r="I102" s="12">
        <v>125</v>
      </c>
      <c r="J102" s="13">
        <v>2750</v>
      </c>
      <c r="K102" s="14">
        <v>3000</v>
      </c>
      <c r="L102" s="36"/>
      <c r="M102" s="36"/>
    </row>
    <row r="103" spans="1:13" x14ac:dyDescent="0.3">
      <c r="A103" s="7">
        <v>102</v>
      </c>
      <c r="B103" s="8" t="s">
        <v>258</v>
      </c>
      <c r="C103" s="9" t="s">
        <v>35</v>
      </c>
      <c r="D103" s="9" t="s">
        <v>27</v>
      </c>
      <c r="E103" s="10" t="s">
        <v>259</v>
      </c>
      <c r="F103" s="9" t="s">
        <v>223</v>
      </c>
      <c r="G103" s="11">
        <v>10000</v>
      </c>
      <c r="H103" s="12">
        <v>500</v>
      </c>
      <c r="I103" s="12">
        <v>500</v>
      </c>
      <c r="J103" s="13">
        <v>11000</v>
      </c>
      <c r="K103" s="14">
        <v>10000</v>
      </c>
      <c r="L103" s="36"/>
      <c r="M103" s="36"/>
    </row>
    <row r="104" spans="1:13" x14ac:dyDescent="0.3">
      <c r="A104" s="7">
        <v>103</v>
      </c>
      <c r="B104" s="8" t="s">
        <v>260</v>
      </c>
      <c r="C104" s="9" t="s">
        <v>35</v>
      </c>
      <c r="D104" s="9" t="s">
        <v>27</v>
      </c>
      <c r="E104" s="10" t="s">
        <v>259</v>
      </c>
      <c r="F104" s="9" t="s">
        <v>261</v>
      </c>
      <c r="G104" s="11">
        <v>5000</v>
      </c>
      <c r="H104" s="12">
        <v>250</v>
      </c>
      <c r="I104" s="12">
        <v>250</v>
      </c>
      <c r="J104" s="13">
        <v>5500</v>
      </c>
      <c r="K104" s="14">
        <v>5500</v>
      </c>
      <c r="L104" s="36"/>
      <c r="M104" s="36"/>
    </row>
    <row r="105" spans="1:13" x14ac:dyDescent="0.3">
      <c r="A105" s="7">
        <v>104</v>
      </c>
      <c r="B105" s="8" t="s">
        <v>262</v>
      </c>
      <c r="C105" s="9" t="s">
        <v>35</v>
      </c>
      <c r="D105" s="9" t="s">
        <v>27</v>
      </c>
      <c r="E105" s="10" t="s">
        <v>263</v>
      </c>
      <c r="F105" s="9" t="s">
        <v>253</v>
      </c>
      <c r="G105" s="11">
        <v>4000</v>
      </c>
      <c r="H105" s="12">
        <v>200</v>
      </c>
      <c r="I105" s="12">
        <v>200</v>
      </c>
      <c r="J105" s="13">
        <v>4400</v>
      </c>
      <c r="K105" s="14">
        <v>5000</v>
      </c>
      <c r="L105" s="36"/>
      <c r="M105" s="36"/>
    </row>
    <row r="106" spans="1:13" x14ac:dyDescent="0.3">
      <c r="A106" s="7">
        <v>105</v>
      </c>
      <c r="B106" s="8" t="s">
        <v>264</v>
      </c>
      <c r="C106" s="9" t="s">
        <v>35</v>
      </c>
      <c r="D106" s="9" t="s">
        <v>27</v>
      </c>
      <c r="E106" s="10" t="s">
        <v>265</v>
      </c>
      <c r="F106" s="9" t="s">
        <v>253</v>
      </c>
      <c r="G106" s="11">
        <v>5000</v>
      </c>
      <c r="H106" s="12">
        <v>250</v>
      </c>
      <c r="I106" s="12">
        <v>250</v>
      </c>
      <c r="J106" s="13">
        <v>5500</v>
      </c>
      <c r="K106" s="14">
        <v>5500</v>
      </c>
      <c r="L106" s="36"/>
      <c r="M106" s="36"/>
    </row>
    <row r="107" spans="1:13" x14ac:dyDescent="0.3">
      <c r="A107" s="7">
        <v>106</v>
      </c>
      <c r="B107" s="8" t="s">
        <v>266</v>
      </c>
      <c r="C107" s="9" t="s">
        <v>35</v>
      </c>
      <c r="D107" s="9" t="s">
        <v>27</v>
      </c>
      <c r="E107" s="10" t="s">
        <v>265</v>
      </c>
      <c r="F107" s="9" t="s">
        <v>223</v>
      </c>
      <c r="G107" s="11">
        <v>10000</v>
      </c>
      <c r="H107" s="12">
        <v>500</v>
      </c>
      <c r="I107" s="12">
        <v>500</v>
      </c>
      <c r="J107" s="13">
        <v>11000</v>
      </c>
      <c r="K107" s="14">
        <v>10000</v>
      </c>
      <c r="L107" s="36"/>
      <c r="M107" s="36"/>
    </row>
    <row r="108" spans="1:13" x14ac:dyDescent="0.3">
      <c r="A108" s="7">
        <v>107</v>
      </c>
      <c r="B108" s="8" t="s">
        <v>267</v>
      </c>
      <c r="C108" s="9" t="s">
        <v>35</v>
      </c>
      <c r="D108" s="9" t="s">
        <v>27</v>
      </c>
      <c r="E108" s="10" t="s">
        <v>268</v>
      </c>
      <c r="F108" s="9" t="s">
        <v>223</v>
      </c>
      <c r="G108" s="11">
        <v>8000</v>
      </c>
      <c r="H108" s="12">
        <v>400</v>
      </c>
      <c r="I108" s="12">
        <v>400</v>
      </c>
      <c r="J108" s="13">
        <v>8800</v>
      </c>
      <c r="K108" s="14">
        <v>8800</v>
      </c>
      <c r="L108" s="36"/>
      <c r="M108" s="36"/>
    </row>
    <row r="109" spans="1:13" x14ac:dyDescent="0.3">
      <c r="A109" s="7">
        <v>108</v>
      </c>
      <c r="B109" s="8" t="s">
        <v>269</v>
      </c>
      <c r="C109" s="9" t="s">
        <v>35</v>
      </c>
      <c r="D109" s="9" t="s">
        <v>27</v>
      </c>
      <c r="E109" s="10" t="s">
        <v>268</v>
      </c>
      <c r="F109" s="9" t="s">
        <v>253</v>
      </c>
      <c r="G109" s="11">
        <v>4000</v>
      </c>
      <c r="H109" s="12">
        <v>200</v>
      </c>
      <c r="I109" s="12">
        <v>200</v>
      </c>
      <c r="J109" s="13">
        <v>4400</v>
      </c>
      <c r="K109" s="14">
        <v>4500</v>
      </c>
      <c r="L109" s="36"/>
      <c r="M109" s="36"/>
    </row>
    <row r="110" spans="1:13" x14ac:dyDescent="0.3">
      <c r="A110" s="7">
        <v>109</v>
      </c>
      <c r="B110" s="8" t="s">
        <v>270</v>
      </c>
      <c r="C110" s="9" t="s">
        <v>11</v>
      </c>
      <c r="D110" s="9" t="s">
        <v>149</v>
      </c>
      <c r="E110" s="10" t="s">
        <v>271</v>
      </c>
      <c r="F110" s="9" t="s">
        <v>272</v>
      </c>
      <c r="G110" s="11">
        <v>2500</v>
      </c>
      <c r="H110" s="12">
        <v>125</v>
      </c>
      <c r="I110" s="12">
        <v>125</v>
      </c>
      <c r="J110" s="13">
        <v>2750</v>
      </c>
      <c r="K110" s="14">
        <v>3000</v>
      </c>
      <c r="L110" s="36"/>
      <c r="M110" s="36"/>
    </row>
    <row r="111" spans="1:13" x14ac:dyDescent="0.3">
      <c r="A111" s="7">
        <v>110</v>
      </c>
      <c r="B111" s="8" t="s">
        <v>273</v>
      </c>
      <c r="C111" s="9" t="s">
        <v>11</v>
      </c>
      <c r="D111" s="9" t="s">
        <v>31</v>
      </c>
      <c r="E111" s="10" t="s">
        <v>274</v>
      </c>
      <c r="F111" s="9" t="s">
        <v>275</v>
      </c>
      <c r="G111" s="11">
        <v>3500</v>
      </c>
      <c r="H111" s="12">
        <v>175</v>
      </c>
      <c r="I111" s="12">
        <v>175</v>
      </c>
      <c r="J111" s="13">
        <v>3850</v>
      </c>
      <c r="K111" s="14">
        <v>4000</v>
      </c>
      <c r="L111" s="36"/>
      <c r="M111" s="36"/>
    </row>
    <row r="112" spans="1:13" x14ac:dyDescent="0.3">
      <c r="A112" s="7">
        <v>111</v>
      </c>
      <c r="B112" s="8" t="s">
        <v>276</v>
      </c>
      <c r="C112" s="9" t="s">
        <v>35</v>
      </c>
      <c r="D112" s="9" t="s">
        <v>225</v>
      </c>
      <c r="E112" s="10" t="s">
        <v>277</v>
      </c>
      <c r="F112" s="9" t="s">
        <v>81</v>
      </c>
      <c r="G112" s="11">
        <v>5000</v>
      </c>
      <c r="H112" s="12">
        <v>250</v>
      </c>
      <c r="I112" s="12">
        <v>250</v>
      </c>
      <c r="J112" s="13">
        <v>5500</v>
      </c>
      <c r="K112" s="14">
        <v>5500</v>
      </c>
      <c r="L112" s="36"/>
      <c r="M112" s="36"/>
    </row>
    <row r="113" spans="1:13" x14ac:dyDescent="0.3">
      <c r="A113" s="7">
        <v>112</v>
      </c>
      <c r="B113" s="8" t="s">
        <v>278</v>
      </c>
      <c r="C113" s="9" t="s">
        <v>230</v>
      </c>
      <c r="D113" s="9" t="s">
        <v>225</v>
      </c>
      <c r="E113" s="10" t="s">
        <v>279</v>
      </c>
      <c r="F113" s="9" t="s">
        <v>81</v>
      </c>
      <c r="G113" s="11">
        <v>3000</v>
      </c>
      <c r="H113" s="12">
        <v>150</v>
      </c>
      <c r="I113" s="12">
        <v>150</v>
      </c>
      <c r="J113" s="13">
        <v>3300</v>
      </c>
      <c r="K113" s="14">
        <v>3500</v>
      </c>
      <c r="L113" s="36"/>
      <c r="M113" s="36"/>
    </row>
    <row r="114" spans="1:13" x14ac:dyDescent="0.3">
      <c r="A114" s="7">
        <v>113</v>
      </c>
      <c r="B114" s="8" t="s">
        <v>280</v>
      </c>
      <c r="C114" s="9" t="s">
        <v>230</v>
      </c>
      <c r="D114" s="9" t="s">
        <v>225</v>
      </c>
      <c r="E114" s="10" t="s">
        <v>279</v>
      </c>
      <c r="F114" s="9" t="s">
        <v>72</v>
      </c>
      <c r="G114" s="11">
        <v>1500</v>
      </c>
      <c r="H114" s="12">
        <v>75</v>
      </c>
      <c r="I114" s="12">
        <v>75</v>
      </c>
      <c r="J114" s="13">
        <v>1650</v>
      </c>
      <c r="K114" s="14">
        <v>2000</v>
      </c>
      <c r="L114" s="36"/>
      <c r="M114" s="36"/>
    </row>
    <row r="115" spans="1:13" x14ac:dyDescent="0.3">
      <c r="A115" s="26">
        <v>114</v>
      </c>
      <c r="B115" s="27" t="s">
        <v>281</v>
      </c>
      <c r="C115" s="28" t="s">
        <v>18</v>
      </c>
      <c r="D115" s="28" t="s">
        <v>19</v>
      </c>
      <c r="E115" s="29" t="s">
        <v>282</v>
      </c>
      <c r="F115" s="28" t="s">
        <v>81</v>
      </c>
      <c r="G115" s="30">
        <v>3000</v>
      </c>
      <c r="H115" s="31">
        <v>150</v>
      </c>
      <c r="I115" s="31">
        <v>150</v>
      </c>
      <c r="J115" s="32">
        <v>3300</v>
      </c>
      <c r="K115" s="33">
        <v>3500</v>
      </c>
      <c r="L115" s="36"/>
      <c r="M115" s="36"/>
    </row>
    <row r="116" spans="1:13" x14ac:dyDescent="0.3">
      <c r="A116" s="7">
        <v>115</v>
      </c>
      <c r="B116" s="15" t="s">
        <v>283</v>
      </c>
      <c r="C116" s="15" t="s">
        <v>26</v>
      </c>
      <c r="D116" s="15" t="s">
        <v>31</v>
      </c>
      <c r="E116" s="34" t="s">
        <v>284</v>
      </c>
      <c r="F116" s="15" t="s">
        <v>121</v>
      </c>
      <c r="G116" s="16">
        <v>1500</v>
      </c>
      <c r="H116" s="35">
        <v>75</v>
      </c>
      <c r="I116" s="35">
        <v>75</v>
      </c>
      <c r="J116" s="18">
        <v>1650</v>
      </c>
      <c r="K116" s="18">
        <v>1600</v>
      </c>
      <c r="L116" s="36"/>
      <c r="M116" s="36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UNO</dc:creator>
  <cp:lastModifiedBy>Alejandro</cp:lastModifiedBy>
  <dcterms:created xsi:type="dcterms:W3CDTF">2025-11-05T21:35:40Z</dcterms:created>
  <dcterms:modified xsi:type="dcterms:W3CDTF">2026-03-09T23:01:33Z</dcterms:modified>
</cp:coreProperties>
</file>